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219" documentId="8_{C23CF3F9-5523-47F2-BA5A-4BB63A9BC0B6}" xr6:coauthVersionLast="47" xr6:coauthVersionMax="47" xr10:uidLastSave="{9AAD1CD6-AF33-4912-A05E-0FF2AAE9FCB9}"/>
  <bookViews>
    <workbookView xWindow="-28920" yWindow="-120" windowWidth="29040" windowHeight="15720" tabRatio="880" firstSheet="8" activeTab="14"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 i="51" l="1"/>
  <c r="M12" i="51"/>
  <c r="L12" i="51"/>
  <c r="K12" i="51"/>
  <c r="J12" i="51"/>
  <c r="I12" i="51"/>
  <c r="H12" i="51"/>
  <c r="G12" i="51"/>
  <c r="F12" i="51"/>
  <c r="E12" i="51"/>
  <c r="D12" i="51"/>
  <c r="C12" i="51"/>
  <c r="B12" i="51"/>
  <c r="M11" i="51"/>
  <c r="L11" i="51"/>
  <c r="K11" i="51"/>
  <c r="J11" i="51"/>
  <c r="I11" i="51"/>
  <c r="H11" i="51"/>
  <c r="G11" i="51"/>
  <c r="F11" i="51"/>
  <c r="E11" i="51"/>
  <c r="D11" i="51"/>
  <c r="C11" i="51"/>
  <c r="B11" i="51"/>
  <c r="M10" i="51"/>
  <c r="L10" i="51"/>
  <c r="K10" i="51"/>
  <c r="J10" i="51"/>
  <c r="I10" i="51"/>
  <c r="H10" i="51"/>
  <c r="G10" i="51"/>
  <c r="F10" i="51"/>
  <c r="E10" i="51"/>
  <c r="D10" i="51"/>
  <c r="C10" i="51"/>
  <c r="B10" i="51"/>
  <c r="M9" i="51"/>
  <c r="L9" i="51"/>
  <c r="K9" i="51"/>
  <c r="J9" i="51"/>
  <c r="I9" i="51"/>
  <c r="H9" i="51"/>
  <c r="G9" i="51"/>
  <c r="F9" i="51"/>
  <c r="E9" i="51"/>
  <c r="D9" i="51"/>
  <c r="C9" i="51"/>
  <c r="B9" i="51"/>
  <c r="N12" i="51"/>
  <c r="N11" i="51"/>
  <c r="N15" i="48"/>
  <c r="L36" i="48"/>
  <c r="N36" i="48" s="1"/>
  <c r="L34" i="48"/>
  <c r="L32" i="48" l="1"/>
  <c r="M32" i="48" s="1"/>
  <c r="N32" i="48" s="1"/>
  <c r="Z24" i="49" a="1"/>
  <c r="Z24" i="49" s="1"/>
  <c r="Z21" i="49" a="1"/>
  <c r="Z21" i="49" s="1"/>
  <c r="AK21" i="49"/>
  <c r="U21" i="49" a="1"/>
  <c r="U21" i="49" s="1"/>
  <c r="V21" i="49" a="1"/>
  <c r="V21" i="49" s="1"/>
  <c r="W21" i="49" a="1"/>
  <c r="W21" i="49" s="1"/>
  <c r="X21" i="49" a="1"/>
  <c r="X21" i="49" s="1"/>
  <c r="Y21" i="49" a="1"/>
  <c r="Y21" i="49" s="1"/>
  <c r="U22" i="49" a="1"/>
  <c r="U22" i="49" s="1"/>
  <c r="V22" i="49" a="1"/>
  <c r="V22" i="49" s="1"/>
  <c r="W22" i="49" a="1"/>
  <c r="W22" i="49" s="1"/>
  <c r="X22" i="49" a="1"/>
  <c r="X22" i="49" s="1"/>
  <c r="Y22" i="49" a="1"/>
  <c r="Y22" i="49" s="1"/>
  <c r="Z22" i="49" a="1"/>
  <c r="Z22" i="49" s="1"/>
  <c r="U23" i="49" a="1"/>
  <c r="U23" i="49" s="1"/>
  <c r="V23" i="49" a="1"/>
  <c r="V23" i="49" s="1"/>
  <c r="W23" i="49" a="1"/>
  <c r="W23" i="49" s="1"/>
  <c r="X23" i="49" a="1"/>
  <c r="X23" i="49" s="1"/>
  <c r="Y23" i="49" a="1"/>
  <c r="Y23" i="49" s="1"/>
  <c r="Z23" i="49" a="1"/>
  <c r="Z23" i="49" s="1"/>
  <c r="U24" i="49" a="1"/>
  <c r="U24" i="49" s="1"/>
  <c r="V24" i="49" a="1"/>
  <c r="V24" i="49" s="1"/>
  <c r="W24" i="49" a="1"/>
  <c r="W24" i="49" s="1"/>
  <c r="X24" i="49" a="1"/>
  <c r="X24" i="49" s="1"/>
  <c r="Y24" i="49" a="1"/>
  <c r="Y24" i="49" s="1"/>
  <c r="U25" i="49" a="1"/>
  <c r="U25" i="49" s="1"/>
  <c r="V25" i="49" a="1"/>
  <c r="V25" i="49" s="1"/>
  <c r="W25" i="49" a="1"/>
  <c r="W25" i="49" s="1"/>
  <c r="X25" i="49" a="1"/>
  <c r="X25" i="49" s="1"/>
  <c r="Y25" i="49" a="1"/>
  <c r="Y25" i="49" s="1"/>
  <c r="Z25" i="49" a="1"/>
  <c r="Z25" i="49" s="1"/>
  <c r="U26" i="49" a="1"/>
  <c r="U26" i="49" s="1"/>
  <c r="V26" i="49" a="1"/>
  <c r="V26" i="49" s="1"/>
  <c r="W26" i="49" a="1"/>
  <c r="W26" i="49" s="1"/>
  <c r="X26" i="49" a="1"/>
  <c r="X26" i="49" s="1"/>
  <c r="Y26" i="49" a="1"/>
  <c r="Y26" i="49" s="1"/>
  <c r="Z26" i="49" a="1"/>
  <c r="Z26" i="49" s="1"/>
  <c r="AA39" i="47"/>
  <c r="Z39" i="47"/>
  <c r="Y39" i="47"/>
  <c r="AA38" i="47"/>
  <c r="Z38" i="47"/>
  <c r="Y38" i="47"/>
  <c r="X39" i="47"/>
  <c r="X38" i="47"/>
  <c r="AW26" i="49" l="1"/>
  <c r="AW22" i="49"/>
  <c r="AW24" i="49"/>
  <c r="N34" i="48"/>
  <c r="W34" i="47"/>
  <c r="W33" i="47"/>
  <c r="W37" i="47"/>
  <c r="W36" i="47"/>
  <c r="W35" i="47"/>
  <c r="Z10" i="44" a="1"/>
  <c r="Z10" i="44" s="1"/>
  <c r="Z8" i="44" a="1"/>
  <c r="Z8" i="44" s="1"/>
  <c r="T8" i="44" a="1"/>
  <c r="T8" i="44" s="1"/>
  <c r="J7" i="51"/>
  <c r="I7" i="51"/>
  <c r="H7" i="51"/>
  <c r="G7" i="51"/>
  <c r="F7" i="51"/>
  <c r="E7" i="51"/>
  <c r="S26" i="49" a="1"/>
  <c r="S26" i="49" s="1"/>
  <c r="C7" i="51" s="1"/>
  <c r="R26" i="49" a="1"/>
  <c r="R26" i="49" s="1"/>
  <c r="B7" i="51" s="1"/>
  <c r="Q26" i="49" a="1"/>
  <c r="Q26" i="49" s="1"/>
  <c r="P26" i="49" a="1"/>
  <c r="P26" i="49" s="1"/>
  <c r="O26" i="49" a="1"/>
  <c r="O26" i="49" s="1"/>
  <c r="N26" i="49" a="1"/>
  <c r="N26" i="49" s="1"/>
  <c r="M26" i="49" a="1"/>
  <c r="M26" i="49" s="1"/>
  <c r="L26" i="49" a="1"/>
  <c r="L26" i="49" s="1"/>
  <c r="K26" i="49" a="1"/>
  <c r="K26" i="49" s="1"/>
  <c r="J26" i="49" a="1"/>
  <c r="J26" i="49" s="1"/>
  <c r="I26" i="49" a="1"/>
  <c r="I26" i="49" s="1"/>
  <c r="F35" i="47" s="1"/>
  <c r="J6" i="51"/>
  <c r="I6" i="51"/>
  <c r="H6" i="51"/>
  <c r="G6" i="51"/>
  <c r="F6" i="51"/>
  <c r="E6" i="51"/>
  <c r="S25" i="49" a="1"/>
  <c r="S25" i="49" s="1"/>
  <c r="C6" i="51" s="1"/>
  <c r="R25" i="49" a="1"/>
  <c r="R25" i="49" s="1"/>
  <c r="B6" i="51" s="1"/>
  <c r="Q25" i="49" a="1"/>
  <c r="Q25" i="49" s="1"/>
  <c r="P25" i="49" a="1"/>
  <c r="P25" i="49" s="1"/>
  <c r="O25" i="49" a="1"/>
  <c r="O25" i="49" s="1"/>
  <c r="N25" i="49" a="1"/>
  <c r="N25" i="49" s="1"/>
  <c r="M25" i="49" a="1"/>
  <c r="M25" i="49" s="1"/>
  <c r="L25" i="49" a="1"/>
  <c r="L25" i="49" s="1"/>
  <c r="K25" i="49" a="1"/>
  <c r="K25" i="49" s="1"/>
  <c r="J25" i="49" a="1"/>
  <c r="J25" i="49" s="1"/>
  <c r="I25" i="49" a="1"/>
  <c r="I25" i="49" s="1"/>
  <c r="F34" i="47" s="1"/>
  <c r="J5" i="51"/>
  <c r="I5" i="51"/>
  <c r="H5" i="51"/>
  <c r="G5" i="51"/>
  <c r="F5" i="51"/>
  <c r="E5" i="51"/>
  <c r="S24" i="49" a="1"/>
  <c r="S24" i="49" s="1"/>
  <c r="C5" i="51" s="1"/>
  <c r="R24" i="49" a="1"/>
  <c r="R24" i="49" s="1"/>
  <c r="B5" i="51" s="1"/>
  <c r="Q24" i="49" a="1"/>
  <c r="Q24" i="49" s="1"/>
  <c r="P24" i="49" a="1"/>
  <c r="P24" i="49" s="1"/>
  <c r="O24" i="49" a="1"/>
  <c r="O24" i="49" s="1"/>
  <c r="N24" i="49" a="1"/>
  <c r="N24" i="49" s="1"/>
  <c r="M24" i="49" a="1"/>
  <c r="M24" i="49" s="1"/>
  <c r="L24" i="49" a="1"/>
  <c r="L24" i="49" s="1"/>
  <c r="K24" i="49" a="1"/>
  <c r="K24" i="49" s="1"/>
  <c r="J24" i="49" a="1"/>
  <c r="J24" i="49" s="1"/>
  <c r="I24" i="49" a="1"/>
  <c r="I24" i="49" s="1"/>
  <c r="J4" i="51"/>
  <c r="I4" i="51"/>
  <c r="H4" i="51"/>
  <c r="G4" i="51"/>
  <c r="F4" i="51"/>
  <c r="E4" i="51"/>
  <c r="S23" i="49" a="1"/>
  <c r="S23" i="49" s="1"/>
  <c r="C4" i="51" s="1"/>
  <c r="R23" i="49" a="1"/>
  <c r="R23" i="49" s="1"/>
  <c r="B4" i="51" s="1"/>
  <c r="Q23" i="49" a="1"/>
  <c r="Q23" i="49" s="1"/>
  <c r="P23" i="49" a="1"/>
  <c r="P23" i="49" s="1"/>
  <c r="O23" i="49" a="1"/>
  <c r="O23" i="49" s="1"/>
  <c r="N23" i="49" a="1"/>
  <c r="N23" i="49" s="1"/>
  <c r="M23" i="49" a="1"/>
  <c r="M23" i="49" s="1"/>
  <c r="L23" i="49" a="1"/>
  <c r="L23" i="49" s="1"/>
  <c r="K23" i="49" a="1"/>
  <c r="K23" i="49" s="1"/>
  <c r="J23" i="49" a="1"/>
  <c r="J23" i="49" s="1"/>
  <c r="I23" i="49" a="1"/>
  <c r="I23" i="49" s="1"/>
  <c r="J3" i="51"/>
  <c r="I3" i="51"/>
  <c r="H3" i="51"/>
  <c r="G3" i="51"/>
  <c r="E3" i="51"/>
  <c r="S22" i="49" a="1"/>
  <c r="S22" i="49" s="1"/>
  <c r="C3" i="51" s="1"/>
  <c r="R22" i="49" a="1"/>
  <c r="R22" i="49" s="1"/>
  <c r="B3" i="51" s="1"/>
  <c r="Q22" i="49" a="1"/>
  <c r="Q22" i="49" s="1"/>
  <c r="P22" i="49" a="1"/>
  <c r="P22" i="49" s="1"/>
  <c r="O22" i="49" a="1"/>
  <c r="O22" i="49" s="1"/>
  <c r="N22" i="49" a="1"/>
  <c r="N22" i="49" s="1"/>
  <c r="M22" i="49" a="1"/>
  <c r="M22" i="49" s="1"/>
  <c r="L22" i="49" a="1"/>
  <c r="L22" i="49" s="1"/>
  <c r="K22" i="49" a="1"/>
  <c r="K22" i="49" s="1"/>
  <c r="J22" i="49" a="1"/>
  <c r="J22" i="49" s="1"/>
  <c r="I22" i="49" a="1"/>
  <c r="I22" i="49" s="1"/>
  <c r="F33" i="47" s="1"/>
  <c r="J2" i="51"/>
  <c r="E2" i="51"/>
  <c r="S21" i="49" a="1"/>
  <c r="S21" i="49" s="1"/>
  <c r="R21" i="49" a="1"/>
  <c r="R21" i="49" s="1"/>
  <c r="Q21" i="49" a="1"/>
  <c r="Q21" i="49" s="1"/>
  <c r="P21" i="49" a="1"/>
  <c r="P21" i="49" s="1"/>
  <c r="O21" i="49" a="1"/>
  <c r="O21" i="49" s="1"/>
  <c r="N21" i="49" a="1"/>
  <c r="N21" i="49" s="1"/>
  <c r="M21" i="49" a="1"/>
  <c r="M21" i="49" s="1"/>
  <c r="L21" i="49" a="1"/>
  <c r="L21" i="49" s="1"/>
  <c r="K21" i="49" a="1"/>
  <c r="K21" i="49" s="1"/>
  <c r="J21" i="49" a="1"/>
  <c r="J21" i="49" s="1"/>
  <c r="I21" i="49" a="1"/>
  <c r="I21" i="49" s="1"/>
  <c r="F32" i="47" s="1"/>
  <c r="T26" i="49" a="1"/>
  <c r="T26" i="49" s="1"/>
  <c r="D7" i="51" s="1"/>
  <c r="T25" i="49" a="1"/>
  <c r="T25" i="49" s="1"/>
  <c r="D6" i="51" s="1"/>
  <c r="T24" i="49" a="1"/>
  <c r="T24" i="49" s="1"/>
  <c r="D5" i="51" s="1"/>
  <c r="T23" i="49" a="1"/>
  <c r="T23" i="49" s="1"/>
  <c r="D4" i="51" s="1"/>
  <c r="T22" i="49" a="1"/>
  <c r="T22" i="49" s="1"/>
  <c r="T21" i="49" a="1"/>
  <c r="T21" i="49" s="1"/>
  <c r="U33" i="48" a="1"/>
  <c r="U33" i="48" s="1"/>
  <c r="U32" i="48" a="1"/>
  <c r="U32" i="48" s="1"/>
  <c r="U31" i="48" a="1"/>
  <c r="U31" i="48" s="1"/>
  <c r="T31" i="48" a="1"/>
  <c r="T31" i="48" s="1"/>
  <c r="S31" i="48" a="1"/>
  <c r="S31" i="48" s="1"/>
  <c r="R11" i="48" a="1"/>
  <c r="R11" i="48" s="1"/>
  <c r="L11" i="48" s="1"/>
  <c r="Q16" i="48" a="1"/>
  <c r="Q16" i="48" s="1"/>
  <c r="Q14" i="48" a="1"/>
  <c r="Q14" i="48" s="1"/>
  <c r="Q13" i="48" a="1"/>
  <c r="Q13" i="48" s="1"/>
  <c r="Q10" i="48" a="1"/>
  <c r="Q10" i="48" s="1"/>
  <c r="Y28" i="44" a="1"/>
  <c r="Y28" i="44" s="1"/>
  <c r="X28" i="44" a="1"/>
  <c r="X28" i="44" s="1"/>
  <c r="W28" i="44" a="1"/>
  <c r="W28" i="44" s="1"/>
  <c r="V28" i="44" a="1"/>
  <c r="V28" i="44" s="1"/>
  <c r="U28" i="44" a="1"/>
  <c r="U28" i="44" s="1"/>
  <c r="T28" i="44" a="1"/>
  <c r="T28" i="44"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Y27" i="44" a="1"/>
  <c r="Y27" i="44" s="1"/>
  <c r="X27" i="44" a="1"/>
  <c r="X27" i="44" s="1"/>
  <c r="W27" i="44" a="1"/>
  <c r="W27" i="44" s="1"/>
  <c r="V27" i="44" a="1"/>
  <c r="V27" i="44" s="1"/>
  <c r="U27" i="44" a="1"/>
  <c r="U27" i="44" s="1"/>
  <c r="U18" i="44" s="1"/>
  <c r="T27" i="44" a="1"/>
  <c r="T27" i="44" s="1"/>
  <c r="T18" i="44" s="1"/>
  <c r="S27" i="44" a="1"/>
  <c r="S27" i="44" s="1"/>
  <c r="S18" i="44"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I18" i="44" s="1"/>
  <c r="Y26" i="44" a="1"/>
  <c r="Y26" i="44" s="1"/>
  <c r="X26" i="44" a="1"/>
  <c r="X26" i="44" s="1"/>
  <c r="W26" i="44" a="1"/>
  <c r="W26" i="44" s="1"/>
  <c r="V26" i="44" a="1"/>
  <c r="V26" i="44" s="1"/>
  <c r="U26" i="44" a="1"/>
  <c r="U26" i="44" s="1"/>
  <c r="T26" i="44" a="1"/>
  <c r="T26"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Y25" i="44" a="1"/>
  <c r="Y25" i="44" s="1"/>
  <c r="X25" i="44" a="1"/>
  <c r="X25" i="44" s="1"/>
  <c r="W25" i="44" a="1"/>
  <c r="W25" i="44" s="1"/>
  <c r="V25" i="44" a="1"/>
  <c r="V25" i="44" s="1"/>
  <c r="U25" i="44" a="1"/>
  <c r="U25" i="44" s="1"/>
  <c r="T25" i="44" a="1"/>
  <c r="T25" i="44" s="1"/>
  <c r="S25" i="44" a="1"/>
  <c r="S25" i="44" s="1"/>
  <c r="R25" i="44" a="1"/>
  <c r="R25" i="44" s="1"/>
  <c r="R15" i="44" s="1"/>
  <c r="Q25" i="44" a="1"/>
  <c r="Q25" i="44" s="1"/>
  <c r="Q15" i="44" s="1"/>
  <c r="P25" i="44" a="1"/>
  <c r="P25" i="44" s="1"/>
  <c r="O25" i="44" a="1"/>
  <c r="O25" i="44" s="1"/>
  <c r="N25" i="44" a="1"/>
  <c r="N25" i="44" s="1"/>
  <c r="M25" i="44" a="1"/>
  <c r="M25" i="44" s="1"/>
  <c r="L25" i="44" a="1"/>
  <c r="L25" i="44" s="1"/>
  <c r="K25" i="44" a="1"/>
  <c r="K25" i="44" s="1"/>
  <c r="J25" i="44" a="1"/>
  <c r="J25" i="44" s="1"/>
  <c r="I25" i="44" a="1"/>
  <c r="I25" i="44" s="1"/>
  <c r="Y24" i="44" a="1"/>
  <c r="Y24" i="44" s="1"/>
  <c r="X24" i="44" a="1"/>
  <c r="X24" i="44" s="1"/>
  <c r="X29" i="49" s="1"/>
  <c r="W24" i="44" a="1"/>
  <c r="W24" i="44" s="1"/>
  <c r="W29" i="49" s="1"/>
  <c r="V24" i="44" a="1"/>
  <c r="V24" i="44" s="1"/>
  <c r="V29" i="49" s="1"/>
  <c r="U24" i="44" a="1"/>
  <c r="U24" i="44" s="1"/>
  <c r="U29" i="49" s="1"/>
  <c r="T24" i="44" a="1"/>
  <c r="T24" i="44"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Y23" i="44" a="1"/>
  <c r="Y23" i="44" s="1"/>
  <c r="X23" i="44" a="1"/>
  <c r="X23" i="44" s="1"/>
  <c r="X28" i="49" s="1"/>
  <c r="W23" i="44" a="1"/>
  <c r="W23" i="44" s="1"/>
  <c r="W28" i="49" s="1"/>
  <c r="V23" i="44" a="1"/>
  <c r="V23" i="44" s="1"/>
  <c r="V28" i="49" s="1"/>
  <c r="U23" i="44" a="1"/>
  <c r="U23" i="44" s="1"/>
  <c r="U28" i="49" s="1"/>
  <c r="T23" i="44" a="1"/>
  <c r="T23" i="44" s="1"/>
  <c r="S23" i="44" a="1"/>
  <c r="S23" i="44" s="1"/>
  <c r="R23" i="44" a="1"/>
  <c r="R23" i="44" s="1"/>
  <c r="R14" i="44" s="1"/>
  <c r="Q23" i="44" a="1"/>
  <c r="Q23" i="44" s="1"/>
  <c r="P23" i="44" a="1"/>
  <c r="P23" i="44" s="1"/>
  <c r="O23" i="44" a="1"/>
  <c r="O23" i="44" s="1"/>
  <c r="O14" i="44" s="1"/>
  <c r="N23" i="44" a="1"/>
  <c r="N23" i="44" s="1"/>
  <c r="N14" i="44" s="1"/>
  <c r="M23" i="44" a="1"/>
  <c r="M23" i="44" s="1"/>
  <c r="L23" i="44" a="1"/>
  <c r="L23" i="44" s="1"/>
  <c r="K23" i="44" a="1"/>
  <c r="K23" i="44" s="1"/>
  <c r="J23" i="44" a="1"/>
  <c r="J23" i="44" s="1"/>
  <c r="I23" i="44" a="1"/>
  <c r="I23" i="44" s="1"/>
  <c r="Y12" i="44" a="1"/>
  <c r="Y12" i="44" s="1"/>
  <c r="X12" i="44" a="1"/>
  <c r="X12" i="44" s="1"/>
  <c r="W12" i="44" a="1"/>
  <c r="W12" i="44" s="1"/>
  <c r="V12" i="44" a="1"/>
  <c r="V12" i="44" s="1"/>
  <c r="U12" i="44" a="1"/>
  <c r="U12"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Y10" i="44" a="1"/>
  <c r="Y10" i="44" s="1"/>
  <c r="X10" i="44" a="1"/>
  <c r="X10" i="44" s="1"/>
  <c r="W10" i="44" a="1"/>
  <c r="W10" i="44" s="1"/>
  <c r="V10" i="44" a="1"/>
  <c r="V10" i="44" s="1"/>
  <c r="U10" i="44" a="1"/>
  <c r="U10" i="44"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Y8" i="44" a="1"/>
  <c r="Y8" i="44" s="1"/>
  <c r="X8" i="44" a="1"/>
  <c r="X8" i="44" s="1"/>
  <c r="W8" i="44" a="1"/>
  <c r="W8" i="44" s="1"/>
  <c r="V8" i="44" a="1"/>
  <c r="V8" i="44" s="1"/>
  <c r="U8" i="44" a="1"/>
  <c r="U8"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Z28" i="44" a="1"/>
  <c r="Z28" i="44" s="1"/>
  <c r="Z27" i="44" a="1"/>
  <c r="Z27" i="44" s="1"/>
  <c r="Z26" i="44" a="1"/>
  <c r="Z26" i="44" s="1"/>
  <c r="Z25" i="44" a="1"/>
  <c r="Z25" i="44" s="1"/>
  <c r="Z24" i="44" a="1"/>
  <c r="Z24" i="44" s="1"/>
  <c r="Z23" i="44" a="1"/>
  <c r="Z23" i="44" s="1"/>
  <c r="Z12" i="44" a="1"/>
  <c r="Z12" i="44" s="1"/>
  <c r="U36" i="48" a="1"/>
  <c r="U36" i="48" s="1"/>
  <c r="T36" i="48" a="1"/>
  <c r="T36" i="48" s="1"/>
  <c r="S36" i="48" a="1"/>
  <c r="S36" i="48" s="1"/>
  <c r="U35" i="48" a="1"/>
  <c r="U35" i="48" s="1"/>
  <c r="T35" i="48" a="1"/>
  <c r="T35" i="48" s="1"/>
  <c r="S35" i="48" a="1"/>
  <c r="S35" i="48" s="1"/>
  <c r="U34" i="48" a="1"/>
  <c r="U34" i="48" s="1"/>
  <c r="T34" i="48" a="1"/>
  <c r="T34" i="48" s="1"/>
  <c r="S34" i="48" a="1"/>
  <c r="S34" i="48" s="1"/>
  <c r="T33" i="48" a="1"/>
  <c r="T33" i="48" s="1"/>
  <c r="S33" i="48" a="1"/>
  <c r="S33" i="48" s="1"/>
  <c r="T32" i="48" a="1"/>
  <c r="T32" i="48" s="1"/>
  <c r="S32" i="48" a="1"/>
  <c r="S32" i="48" s="1"/>
  <c r="S30" i="48" a="1"/>
  <c r="S30" i="48" s="1"/>
  <c r="T30" i="48" a="1"/>
  <c r="T30" i="48" s="1"/>
  <c r="U30" i="48" a="1"/>
  <c r="U30" i="48" s="1"/>
  <c r="T13" i="48" a="1"/>
  <c r="T13" i="48" s="1"/>
  <c r="T12" i="48" a="1"/>
  <c r="T12" i="48" s="1"/>
  <c r="S10" i="48" a="1"/>
  <c r="S10" i="48" s="1"/>
  <c r="U10" i="48" a="1"/>
  <c r="U10" i="48" s="1"/>
  <c r="S11" i="48" a="1"/>
  <c r="S11" i="48" s="1"/>
  <c r="U14" i="62"/>
  <c r="V7" i="62" a="1"/>
  <c r="V7" i="62" s="1"/>
  <c r="U7" i="62" a="1"/>
  <c r="U7" i="62" s="1"/>
  <c r="T7" i="62" a="1"/>
  <c r="T7" i="62" s="1"/>
  <c r="S7" i="62" a="1"/>
  <c r="S7" i="62" s="1"/>
  <c r="R7" i="62" a="1"/>
  <c r="R7" i="62" s="1"/>
  <c r="Q7" i="62" a="1"/>
  <c r="Q7" i="62" s="1"/>
  <c r="P7" i="62" a="1"/>
  <c r="P7" i="62" s="1"/>
  <c r="O7" i="62" a="1"/>
  <c r="O7" i="62" s="1"/>
  <c r="N7" i="62" a="1"/>
  <c r="N7" i="62" s="1"/>
  <c r="M7" i="62" a="1"/>
  <c r="M7" i="62" s="1"/>
  <c r="L7" i="62" a="1"/>
  <c r="L7" i="62" s="1"/>
  <c r="K7" i="62" a="1"/>
  <c r="K7" i="62" s="1"/>
  <c r="J7" i="62" a="1"/>
  <c r="J7" i="62" s="1"/>
  <c r="I7" i="62" a="1"/>
  <c r="I7" i="62" s="1"/>
  <c r="H7" i="62" a="1"/>
  <c r="H7" i="62" s="1"/>
  <c r="G7" i="62" a="1"/>
  <c r="G7" i="62" s="1"/>
  <c r="I37" i="52"/>
  <c r="B26" i="51"/>
  <c r="A6" i="52"/>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C36" i="48"/>
  <c r="C35" i="48"/>
  <c r="C34" i="48"/>
  <c r="C33" i="48"/>
  <c r="C32" i="48"/>
  <c r="C31" i="48"/>
  <c r="C17" i="48"/>
  <c r="U17" i="48" s="1" a="1"/>
  <c r="U17" i="48" s="1"/>
  <c r="C16" i="48"/>
  <c r="U16" i="48" s="1" a="1"/>
  <c r="U16" i="48" s="1"/>
  <c r="C15" i="48"/>
  <c r="U15" i="48" s="1" a="1"/>
  <c r="U15" i="48" s="1"/>
  <c r="C14" i="48"/>
  <c r="U14" i="48" s="1" a="1"/>
  <c r="U14" i="48" s="1"/>
  <c r="C13" i="48"/>
  <c r="U13" i="48" s="1" a="1"/>
  <c r="U13" i="48" s="1"/>
  <c r="C12" i="48"/>
  <c r="U12" i="48" s="1" a="1"/>
  <c r="U12" i="48" s="1"/>
  <c r="C11" i="48"/>
  <c r="T11" i="48" s="1" a="1"/>
  <c r="T11" i="48" s="1"/>
  <c r="Z25" i="45" a="1"/>
  <c r="Z25" i="45" s="1"/>
  <c r="Z24" i="45" a="1"/>
  <c r="Z24" i="45" s="1"/>
  <c r="Z23" i="45" a="1"/>
  <c r="Z23" i="45" s="1"/>
  <c r="Z22" i="45" a="1"/>
  <c r="Z22" i="45" s="1"/>
  <c r="Z20" i="45" a="1"/>
  <c r="Z20" i="45" s="1"/>
  <c r="Z19" i="45" a="1"/>
  <c r="Z19" i="45" s="1"/>
  <c r="Z17" i="45" a="1"/>
  <c r="Z17" i="45" s="1"/>
  <c r="Z14" i="45" a="1"/>
  <c r="Z14" i="45" s="1"/>
  <c r="AC25" i="45" a="1"/>
  <c r="AC25" i="45" s="1"/>
  <c r="AB25" i="45" a="1"/>
  <c r="AB25" i="45" s="1"/>
  <c r="AA25" i="45" a="1"/>
  <c r="AA25" i="45" s="1"/>
  <c r="AC24" i="45" a="1"/>
  <c r="AC24" i="45" s="1"/>
  <c r="AB24" i="45" a="1"/>
  <c r="AB24" i="45" s="1"/>
  <c r="AA24" i="45" a="1"/>
  <c r="AA24" i="45" s="1"/>
  <c r="AC23" i="45" a="1"/>
  <c r="AC23" i="45" s="1"/>
  <c r="AB23" i="45" a="1"/>
  <c r="AB23" i="45" s="1"/>
  <c r="AA23" i="45" a="1"/>
  <c r="AA23" i="45" s="1"/>
  <c r="AC22" i="45" a="1"/>
  <c r="AC22" i="45" s="1"/>
  <c r="AB22" i="45" a="1"/>
  <c r="AB22" i="45" s="1"/>
  <c r="AA22" i="45" a="1"/>
  <c r="AA22" i="45" s="1"/>
  <c r="AC20" i="45" a="1"/>
  <c r="AC20" i="45" s="1"/>
  <c r="AB20" i="45" a="1"/>
  <c r="AB20" i="45" s="1"/>
  <c r="AA20" i="45" a="1"/>
  <c r="AA20" i="45" s="1"/>
  <c r="AC19" i="45" a="1"/>
  <c r="AC19" i="45" s="1"/>
  <c r="AB19" i="45" a="1"/>
  <c r="AB19" i="45" s="1"/>
  <c r="AA19" i="45" a="1"/>
  <c r="AA19" i="45" s="1"/>
  <c r="AC17" i="45" a="1"/>
  <c r="AC17" i="45" s="1"/>
  <c r="N9" i="51" s="1"/>
  <c r="AB17" i="45" a="1"/>
  <c r="AB17" i="45" s="1"/>
  <c r="AA17" i="45" a="1"/>
  <c r="AA17" i="45" s="1"/>
  <c r="AC14" i="45" a="1"/>
  <c r="AC14" i="45" s="1"/>
  <c r="AB14" i="45" a="1"/>
  <c r="AB14" i="45" s="1"/>
  <c r="AA14" i="45" a="1"/>
  <c r="AA14" i="45" s="1"/>
  <c r="F37" i="47"/>
  <c r="F36" i="47"/>
  <c r="I24" i="45" a="1"/>
  <c r="I24" i="45" s="1"/>
  <c r="I23" i="45" a="1"/>
  <c r="I23" i="45" s="1"/>
  <c r="I22" i="45" a="1"/>
  <c r="I22" i="45" s="1"/>
  <c r="AG12" i="48" a="1"/>
  <c r="AG12" i="48" s="1"/>
  <c r="AF12" i="48" a="1"/>
  <c r="AF12" i="48" s="1"/>
  <c r="AD12" i="48" a="1"/>
  <c r="AD12" i="48" s="1"/>
  <c r="AB12" i="48" a="1"/>
  <c r="AB12"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M17" i="48" a="1"/>
  <c r="AM17" i="48" s="1"/>
  <c r="AF16" i="48" a="1"/>
  <c r="AF16"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Z62" i="45" s="1"/>
  <c r="Y32" i="45" a="1"/>
  <c r="Y32" i="45" s="1"/>
  <c r="X32" i="45" a="1"/>
  <c r="X32" i="45" s="1"/>
  <c r="W32" i="45" a="1"/>
  <c r="W32" i="45" s="1"/>
  <c r="V32" i="45" a="1"/>
  <c r="V32" i="45" s="1"/>
  <c r="U32" i="45" a="1"/>
  <c r="U32" i="45"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24" i="45" a="1"/>
  <c r="T24" i="45" s="1"/>
  <c r="S24" i="45" a="1"/>
  <c r="S24" i="45" s="1"/>
  <c r="R24" i="45" a="1"/>
  <c r="R24" i="45" s="1"/>
  <c r="Q24" i="45" a="1"/>
  <c r="Q24" i="45" s="1"/>
  <c r="P24" i="45" a="1"/>
  <c r="P24" i="45" s="1"/>
  <c r="O24" i="45" a="1"/>
  <c r="O24" i="45" s="1"/>
  <c r="N24" i="45" a="1"/>
  <c r="N24" i="45" s="1"/>
  <c r="M24" i="45" a="1"/>
  <c r="M24" i="45" s="1"/>
  <c r="L24" i="45" a="1"/>
  <c r="L24" i="45" s="1"/>
  <c r="K24" i="45" a="1"/>
  <c r="K24" i="45" s="1"/>
  <c r="J24" i="45" a="1"/>
  <c r="J24" i="45" s="1"/>
  <c r="Y24" i="45" a="1"/>
  <c r="Y24" i="45" s="1"/>
  <c r="X24" i="45" a="1"/>
  <c r="X24" i="45" s="1"/>
  <c r="W24" i="45" a="1"/>
  <c r="W24" i="45" s="1"/>
  <c r="V24" i="45" a="1"/>
  <c r="V24" i="45" s="1"/>
  <c r="U24" i="45" a="1"/>
  <c r="U24"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O8" i="45" a="1"/>
  <c r="O8" i="45" s="1"/>
  <c r="N8" i="45" a="1"/>
  <c r="N8" i="45" s="1"/>
  <c r="M8" i="45" a="1"/>
  <c r="M8" i="45" s="1"/>
  <c r="L8" i="45" a="1"/>
  <c r="L8" i="45" s="1"/>
  <c r="K8" i="45" a="1"/>
  <c r="K8" i="45" s="1"/>
  <c r="J8" i="45" a="1"/>
  <c r="J8" i="45" s="1"/>
  <c r="I8" i="45" a="1"/>
  <c r="I8" i="45" s="1"/>
  <c r="U23" i="45" a="1"/>
  <c r="U23" i="45" s="1"/>
  <c r="T23" i="45" a="1"/>
  <c r="T23" i="45" s="1"/>
  <c r="S23" i="45" a="1"/>
  <c r="S23" i="45" s="1"/>
  <c r="R23" i="45" a="1"/>
  <c r="R23" i="45" s="1"/>
  <c r="Q23" i="45" a="1"/>
  <c r="Q23" i="45" s="1"/>
  <c r="P23" i="45" a="1"/>
  <c r="P23" i="45" s="1"/>
  <c r="O23" i="45" a="1"/>
  <c r="O23" i="45" s="1"/>
  <c r="N23" i="45" a="1"/>
  <c r="N23" i="45" s="1"/>
  <c r="M23" i="45" a="1"/>
  <c r="M23" i="45" s="1"/>
  <c r="L23" i="45" a="1"/>
  <c r="L23" i="45" s="1"/>
  <c r="K23" i="45" a="1"/>
  <c r="K23" i="45" s="1"/>
  <c r="J23" i="45" a="1"/>
  <c r="J23" i="45" s="1"/>
  <c r="U22" i="45" a="1"/>
  <c r="U22" i="45" s="1"/>
  <c r="T22" i="45" a="1"/>
  <c r="T22" i="45" s="1"/>
  <c r="S22" i="45" a="1"/>
  <c r="S22" i="45" s="1"/>
  <c r="R22" i="45" a="1"/>
  <c r="R22" i="45" s="1"/>
  <c r="Q22" i="45" a="1"/>
  <c r="Q22" i="45" s="1"/>
  <c r="P22" i="45" a="1"/>
  <c r="P22" i="45" s="1"/>
  <c r="O22" i="45" a="1"/>
  <c r="O22" i="45" s="1"/>
  <c r="N22" i="45" a="1"/>
  <c r="N22" i="45" s="1"/>
  <c r="M22" i="45" a="1"/>
  <c r="M22" i="45" s="1"/>
  <c r="L22" i="45" a="1"/>
  <c r="L22" i="45" s="1"/>
  <c r="K22" i="45" a="1"/>
  <c r="K22" i="45" s="1"/>
  <c r="J22" i="45" a="1"/>
  <c r="J22" i="45" s="1"/>
  <c r="U20" i="45" a="1"/>
  <c r="U20" i="45" s="1"/>
  <c r="T20" i="45" a="1"/>
  <c r="T20" i="45" s="1"/>
  <c r="S20" i="45" a="1"/>
  <c r="S20" i="45" s="1"/>
  <c r="R20" i="45" a="1"/>
  <c r="R20" i="45" s="1"/>
  <c r="Q20" i="45" a="1"/>
  <c r="Q20" i="45" s="1"/>
  <c r="P20" i="45" a="1"/>
  <c r="P20" i="45" s="1"/>
  <c r="O20" i="45" a="1"/>
  <c r="O20" i="45" s="1"/>
  <c r="N20" i="45" a="1"/>
  <c r="N20" i="45" s="1"/>
  <c r="M20" i="45" a="1"/>
  <c r="M20" i="45" s="1"/>
  <c r="L20" i="45" a="1"/>
  <c r="L20" i="45" s="1"/>
  <c r="K20" i="45" a="1"/>
  <c r="K20" i="45" s="1"/>
  <c r="J20" i="45" a="1"/>
  <c r="J20" i="45" s="1"/>
  <c r="I20" i="45" a="1"/>
  <c r="I20" i="45" s="1"/>
  <c r="U19" i="45" a="1"/>
  <c r="U19" i="45" s="1"/>
  <c r="T19" i="45" a="1"/>
  <c r="T19" i="45" s="1"/>
  <c r="S19" i="45" a="1"/>
  <c r="S19" i="45" s="1"/>
  <c r="R19" i="45" a="1"/>
  <c r="R19" i="45" s="1"/>
  <c r="Q19" i="45" a="1"/>
  <c r="Q19" i="45" s="1"/>
  <c r="P19" i="45" a="1"/>
  <c r="P19" i="45" s="1"/>
  <c r="O19" i="45" a="1"/>
  <c r="O19" i="45" s="1"/>
  <c r="N19" i="45" a="1"/>
  <c r="N19" i="45" s="1"/>
  <c r="M19" i="45" a="1"/>
  <c r="M19" i="45" s="1"/>
  <c r="L19" i="45" a="1"/>
  <c r="L19" i="45" s="1"/>
  <c r="K19" i="45" a="1"/>
  <c r="K19" i="45" s="1"/>
  <c r="J19" i="45" a="1"/>
  <c r="J19" i="45" s="1"/>
  <c r="I19" i="45" a="1"/>
  <c r="I19"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23" i="45" a="1"/>
  <c r="Y23" i="45" s="1"/>
  <c r="X23" i="45" a="1"/>
  <c r="X23" i="45" s="1"/>
  <c r="W23" i="45" a="1"/>
  <c r="W23" i="45" s="1"/>
  <c r="V23" i="45" a="1"/>
  <c r="V23" i="45" s="1"/>
  <c r="Y22" i="45" a="1"/>
  <c r="Y22" i="45" s="1"/>
  <c r="X22" i="45" a="1"/>
  <c r="X22" i="45" s="1"/>
  <c r="W22" i="45" a="1"/>
  <c r="W22" i="45" s="1"/>
  <c r="V22" i="45" a="1"/>
  <c r="V22" i="45" s="1"/>
  <c r="Y20" i="45" a="1"/>
  <c r="Y20" i="45" s="1"/>
  <c r="X20" i="45" a="1"/>
  <c r="X20" i="45" s="1"/>
  <c r="W20" i="45" a="1"/>
  <c r="W20" i="45" s="1"/>
  <c r="V20" i="45" a="1"/>
  <c r="V20" i="45" s="1"/>
  <c r="Y19" i="45" a="1"/>
  <c r="Y19" i="45" s="1"/>
  <c r="X19" i="45" a="1"/>
  <c r="X19" i="45" s="1"/>
  <c r="W19" i="45" a="1"/>
  <c r="W19" i="45" s="1"/>
  <c r="V19" i="45" a="1"/>
  <c r="V19" i="45" s="1"/>
  <c r="Y17" i="45" a="1"/>
  <c r="Y17" i="45" s="1"/>
  <c r="X17" i="45" a="1"/>
  <c r="X17" i="45" s="1"/>
  <c r="W17" i="45" a="1"/>
  <c r="W17" i="45" s="1"/>
  <c r="V17" i="45" a="1"/>
  <c r="V17" i="45" s="1"/>
  <c r="Y14" i="45" a="1"/>
  <c r="Y14" i="45" s="1"/>
  <c r="X14" i="45" a="1"/>
  <c r="X14" i="45" s="1"/>
  <c r="W14" i="45" a="1"/>
  <c r="W14" i="45" s="1"/>
  <c r="V14" i="45" a="1"/>
  <c r="V14" i="45" s="1"/>
  <c r="AC11" i="45" a="1"/>
  <c r="AC11" i="45" s="1"/>
  <c r="AB11" i="45" a="1"/>
  <c r="AB11" i="45" s="1"/>
  <c r="AA11" i="45" a="1"/>
  <c r="AA11" i="45" s="1"/>
  <c r="Z11" i="45" a="1"/>
  <c r="Z11" i="45" s="1"/>
  <c r="Y11" i="45" a="1"/>
  <c r="Y11" i="45" s="1"/>
  <c r="X11" i="45" a="1"/>
  <c r="X11" i="45" s="1"/>
  <c r="W11" i="45" a="1"/>
  <c r="W11" i="45" s="1"/>
  <c r="V11" i="45" a="1"/>
  <c r="V11" i="45" s="1"/>
  <c r="U11" i="45" a="1"/>
  <c r="U11" i="45" s="1"/>
  <c r="U43" i="45" s="1"/>
  <c r="E6" i="46" a="1"/>
  <c r="E6" i="46" s="1"/>
  <c r="U8" i="45" a="1"/>
  <c r="U8" i="45" s="1"/>
  <c r="U9" i="45" a="1"/>
  <c r="U9" i="45" s="1"/>
  <c r="Z8" i="46" a="1"/>
  <c r="Z8" i="46" s="1"/>
  <c r="B4" i="37"/>
  <c r="P48" i="37"/>
  <c r="AC10" i="45" a="1"/>
  <c r="AC10" i="45" s="1"/>
  <c r="AC9" i="45" a="1"/>
  <c r="AC9" i="45" s="1"/>
  <c r="AC8" i="45" a="1"/>
  <c r="AC8" i="45" s="1"/>
  <c r="Z6" i="46" a="1"/>
  <c r="Z6" i="46" s="1"/>
  <c r="N33" i="51" s="1"/>
  <c r="U9" i="50"/>
  <c r="U7" i="50" a="1"/>
  <c r="U7" i="50" s="1"/>
  <c r="M24" i="51" s="1"/>
  <c r="V7" i="50" a="1"/>
  <c r="V7" i="50" s="1"/>
  <c r="N24" i="51" s="1"/>
  <c r="T7" i="50" a="1"/>
  <c r="T7" i="50" s="1"/>
  <c r="L24" i="51" s="1"/>
  <c r="K24" i="51"/>
  <c r="R7" i="50" a="1"/>
  <c r="R7" i="50" s="1"/>
  <c r="J24" i="51"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Y29" i="49" l="1"/>
  <c r="Z28" i="49"/>
  <c r="W39" i="47" s="1"/>
  <c r="Y28" i="49"/>
  <c r="P14" i="44"/>
  <c r="Y62" i="45"/>
  <c r="AA8" i="44"/>
  <c r="Z29" i="49"/>
  <c r="K15" i="44"/>
  <c r="W15" i="44"/>
  <c r="M18" i="44"/>
  <c r="Y18" i="44"/>
  <c r="U41" i="45"/>
  <c r="L14" i="44"/>
  <c r="X14" i="44"/>
  <c r="X11" i="44" s="1"/>
  <c r="X9" i="44" s="1"/>
  <c r="N15" i="44"/>
  <c r="P18" i="44"/>
  <c r="T28" i="49"/>
  <c r="D3" i="51"/>
  <c r="T29" i="49"/>
  <c r="Z15" i="44"/>
  <c r="Z53" i="44" s="1"/>
  <c r="Z18" i="44"/>
  <c r="Z54" i="44" s="1"/>
  <c r="T14" i="44"/>
  <c r="J15" i="44"/>
  <c r="V15" i="44"/>
  <c r="L18" i="44"/>
  <c r="X18" i="44"/>
  <c r="J14" i="44"/>
  <c r="T11" i="47"/>
  <c r="I14" i="44"/>
  <c r="U14" i="44"/>
  <c r="V14" i="44"/>
  <c r="L15" i="44"/>
  <c r="X15" i="44"/>
  <c r="N18" i="44"/>
  <c r="V17" i="47"/>
  <c r="M13" i="62"/>
  <c r="J18" i="44"/>
  <c r="V18" i="44"/>
  <c r="G33" i="47"/>
  <c r="Q17" i="48" a="1"/>
  <c r="Q17" i="48" s="1"/>
  <c r="Q11" i="48" a="1"/>
  <c r="Q11" i="48" s="1"/>
  <c r="P11" i="48" a="1"/>
  <c r="P11" i="48" s="1"/>
  <c r="AJ15" i="48" a="1"/>
  <c r="AJ15" i="48" s="1"/>
  <c r="T10" i="48" a="1"/>
  <c r="T10" i="48" s="1"/>
  <c r="Q12" i="48" a="1"/>
  <c r="Q12" i="48" s="1"/>
  <c r="Q15" i="48" a="1"/>
  <c r="Q15" i="48" s="1"/>
  <c r="S12" i="48" a="1"/>
  <c r="S12" i="48" s="1"/>
  <c r="S16" i="48" a="1"/>
  <c r="S16" i="48" s="1"/>
  <c r="T16" i="48" a="1"/>
  <c r="T16" i="48" s="1"/>
  <c r="S13" i="48" a="1"/>
  <c r="S13" i="48" s="1"/>
  <c r="S17" i="48" a="1"/>
  <c r="S17" i="48" s="1"/>
  <c r="T17" i="48" a="1"/>
  <c r="T17" i="48" s="1"/>
  <c r="U11" i="48" a="1"/>
  <c r="U11" i="48" s="1"/>
  <c r="S14" i="48" a="1"/>
  <c r="S14" i="48" s="1"/>
  <c r="T14" i="48" a="1"/>
  <c r="T14" i="48" s="1"/>
  <c r="S15" i="48" a="1"/>
  <c r="S15" i="48" s="1"/>
  <c r="T15" i="48" a="1"/>
  <c r="T15" i="48" s="1"/>
  <c r="Q14" i="44"/>
  <c r="S15" i="44"/>
  <c r="T15" i="44"/>
  <c r="T11" i="44" s="1"/>
  <c r="S14" i="44"/>
  <c r="F14" i="47"/>
  <c r="I15" i="44"/>
  <c r="I11" i="44" s="1"/>
  <c r="I9" i="44" s="1"/>
  <c r="U15" i="44"/>
  <c r="U11" i="44" s="1"/>
  <c r="U9" i="44" s="1"/>
  <c r="K18" i="44"/>
  <c r="W18" i="44"/>
  <c r="K14" i="44"/>
  <c r="W14" i="44"/>
  <c r="M15" i="44"/>
  <c r="Y15" i="44"/>
  <c r="O18" i="44"/>
  <c r="M14" i="44"/>
  <c r="Y14" i="44"/>
  <c r="O15" i="44"/>
  <c r="Q18" i="44"/>
  <c r="N11" i="44"/>
  <c r="N9" i="44" s="1"/>
  <c r="P15" i="44"/>
  <c r="P11" i="44" s="1"/>
  <c r="P9" i="44" s="1"/>
  <c r="R18" i="44"/>
  <c r="R11" i="44" s="1"/>
  <c r="R9" i="44" s="1"/>
  <c r="W11" i="47"/>
  <c r="F12" i="47"/>
  <c r="T52" i="44"/>
  <c r="D21" i="51" s="1"/>
  <c r="T54" i="44"/>
  <c r="T14" i="47"/>
  <c r="T17" i="47"/>
  <c r="W17" i="47"/>
  <c r="W9" i="47"/>
  <c r="W13" i="47"/>
  <c r="W15" i="47"/>
  <c r="W12" i="47"/>
  <c r="Z14" i="44"/>
  <c r="Z11" i="44" s="1"/>
  <c r="W16" i="47"/>
  <c r="Z12" i="36" s="1"/>
  <c r="K29" i="49"/>
  <c r="T9" i="47"/>
  <c r="T13" i="47"/>
  <c r="P13" i="62"/>
  <c r="R16" i="47"/>
  <c r="Q29" i="49"/>
  <c r="R29" i="49"/>
  <c r="V9" i="47"/>
  <c r="R9" i="47"/>
  <c r="V11" i="47"/>
  <c r="V14" i="47"/>
  <c r="N53" i="44"/>
  <c r="P54" i="44"/>
  <c r="T15" i="47"/>
  <c r="R15" i="47"/>
  <c r="V15" i="47"/>
  <c r="L13" i="62"/>
  <c r="S9" i="47"/>
  <c r="S13" i="47"/>
  <c r="R17" i="47"/>
  <c r="R54" i="44"/>
  <c r="B23" i="51" s="1"/>
  <c r="U13" i="47"/>
  <c r="X6" i="36" s="1"/>
  <c r="P29" i="49"/>
  <c r="V13" i="47"/>
  <c r="R53" i="44"/>
  <c r="B22" i="51" s="1"/>
  <c r="S11" i="47"/>
  <c r="S14" i="47"/>
  <c r="S17" i="47"/>
  <c r="U11" i="47"/>
  <c r="U14" i="47"/>
  <c r="U17" i="47"/>
  <c r="S13" i="62"/>
  <c r="R11" i="47"/>
  <c r="J53" i="44"/>
  <c r="S15" i="47"/>
  <c r="U13" i="62"/>
  <c r="J13" i="62"/>
  <c r="V13" i="62"/>
  <c r="U15" i="47"/>
  <c r="X10" i="36" s="1"/>
  <c r="W14" i="47"/>
  <c r="Z8" i="36" s="1"/>
  <c r="N13" i="62"/>
  <c r="O13" i="62"/>
  <c r="Q13" i="62"/>
  <c r="R13" i="62"/>
  <c r="H13" i="62"/>
  <c r="T13" i="62"/>
  <c r="R12" i="47"/>
  <c r="I13" i="62"/>
  <c r="R13" i="47"/>
  <c r="R14" i="47"/>
  <c r="U8" i="36" s="1"/>
  <c r="K13" i="62"/>
  <c r="M29" i="49"/>
  <c r="L29" i="49"/>
  <c r="N29" i="49"/>
  <c r="O29" i="49"/>
  <c r="X18" i="36"/>
  <c r="X22" i="36"/>
  <c r="AC21" i="45"/>
  <c r="S12" i="47"/>
  <c r="S16" i="47"/>
  <c r="J29" i="49"/>
  <c r="T12" i="47"/>
  <c r="T16" i="47"/>
  <c r="U9" i="47"/>
  <c r="U12" i="47"/>
  <c r="U16" i="47"/>
  <c r="V12" i="47"/>
  <c r="V16" i="47"/>
  <c r="S29" i="49"/>
  <c r="I54" i="44"/>
  <c r="R32" i="47"/>
  <c r="S33" i="47"/>
  <c r="K35" i="47"/>
  <c r="G16" i="46"/>
  <c r="D2" i="51"/>
  <c r="F3" i="51"/>
  <c r="Q33" i="47"/>
  <c r="H36" i="47"/>
  <c r="Z18" i="45"/>
  <c r="Z21" i="45"/>
  <c r="H34" i="47"/>
  <c r="T34" i="47"/>
  <c r="O35" i="47"/>
  <c r="Z16" i="36"/>
  <c r="Z20" i="36"/>
  <c r="M34" i="47"/>
  <c r="H35" i="47"/>
  <c r="T35" i="47"/>
  <c r="AA21" i="45"/>
  <c r="O34" i="47"/>
  <c r="J35" i="47"/>
  <c r="V35" i="47"/>
  <c r="I36" i="47"/>
  <c r="V36" i="47"/>
  <c r="L54" i="44"/>
  <c r="M36" i="47"/>
  <c r="Q36" i="47"/>
  <c r="I29" i="49"/>
  <c r="I28" i="49"/>
  <c r="N34" i="47"/>
  <c r="I35" i="47"/>
  <c r="U35" i="47"/>
  <c r="G36" i="47"/>
  <c r="AC18" i="45"/>
  <c r="N10" i="51" s="1"/>
  <c r="R36" i="47"/>
  <c r="Q34" i="47"/>
  <c r="L35" i="47"/>
  <c r="J36" i="47"/>
  <c r="K33" i="47"/>
  <c r="G34" i="47"/>
  <c r="S34" i="47"/>
  <c r="N35" i="47"/>
  <c r="L36" i="47"/>
  <c r="U36" i="47"/>
  <c r="AQ10" i="49"/>
  <c r="M33" i="47"/>
  <c r="I34" i="47"/>
  <c r="U34" i="47"/>
  <c r="P35" i="47"/>
  <c r="S37" i="47"/>
  <c r="O33" i="47"/>
  <c r="K34" i="47"/>
  <c r="R35" i="47"/>
  <c r="S54" i="44"/>
  <c r="C23" i="51" s="1"/>
  <c r="P34" i="47"/>
  <c r="S36" i="47"/>
  <c r="R34" i="47"/>
  <c r="M35" i="47"/>
  <c r="T36" i="47"/>
  <c r="K36" i="47"/>
  <c r="J34" i="47"/>
  <c r="V34" i="47"/>
  <c r="Q35" i="47"/>
  <c r="N36" i="47"/>
  <c r="O36" i="47"/>
  <c r="L34" i="47"/>
  <c r="G35" i="47"/>
  <c r="S35" i="47"/>
  <c r="P36" i="47"/>
  <c r="AB18" i="45"/>
  <c r="U40" i="45"/>
  <c r="N25" i="62" s="1"/>
  <c r="AM10" i="49"/>
  <c r="J33" i="47"/>
  <c r="V33" i="47"/>
  <c r="Q37" i="47"/>
  <c r="O12" i="45"/>
  <c r="L33" i="47"/>
  <c r="G37" i="47"/>
  <c r="AA18" i="45"/>
  <c r="P33" i="47"/>
  <c r="V52" i="45"/>
  <c r="M37" i="47"/>
  <c r="AB21" i="45"/>
  <c r="R33" i="47"/>
  <c r="H33" i="47"/>
  <c r="T33" i="47"/>
  <c r="I33" i="47"/>
  <c r="U33" i="47"/>
  <c r="N33" i="47"/>
  <c r="V49" i="45"/>
  <c r="AB63" i="45"/>
  <c r="G12" i="47"/>
  <c r="G13" i="47"/>
  <c r="G15" i="47"/>
  <c r="G16" i="47"/>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L37" i="47"/>
  <c r="V37" i="47"/>
  <c r="N37" i="47"/>
  <c r="P37" i="47"/>
  <c r="H37" i="47"/>
  <c r="J37" i="47"/>
  <c r="T37" i="47"/>
  <c r="I37" i="47"/>
  <c r="K37" i="47"/>
  <c r="U37" i="47"/>
  <c r="O37" i="47"/>
  <c r="R37"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A17" i="48" a="1"/>
  <c r="AA17" i="48" s="1"/>
  <c r="X20" i="48" a="1"/>
  <c r="X20" i="48" s="1"/>
  <c r="Z22" i="48" a="1"/>
  <c r="Z22" i="48" s="1"/>
  <c r="AB31" i="48" a="1"/>
  <c r="AB31" i="48" s="1"/>
  <c r="Y34" i="48" a="1"/>
  <c r="Y34" i="48" s="1"/>
  <c r="AA36" i="48" a="1"/>
  <c r="AA36" i="48" s="1"/>
  <c r="K9" i="47"/>
  <c r="M11" i="47"/>
  <c r="G17" i="47"/>
  <c r="G9" i="47"/>
  <c r="K12" i="47"/>
  <c r="K13" i="47"/>
  <c r="K15" i="47"/>
  <c r="K16" i="47"/>
  <c r="K17" i="47"/>
  <c r="U54" i="45"/>
  <c r="O17" i="47"/>
  <c r="I15" i="47"/>
  <c r="I17" i="47"/>
  <c r="I9" i="47"/>
  <c r="O9" i="47"/>
  <c r="AC62" i="45"/>
  <c r="P11" i="47"/>
  <c r="I12" i="47"/>
  <c r="I13" i="47"/>
  <c r="AC63" i="45"/>
  <c r="T62" i="45"/>
  <c r="T63" i="45"/>
  <c r="I11" i="47"/>
  <c r="N12" i="47"/>
  <c r="N13" i="47"/>
  <c r="N14" i="47"/>
  <c r="N15" i="47"/>
  <c r="N17" i="47"/>
  <c r="J11" i="47"/>
  <c r="O12" i="47"/>
  <c r="O13" i="47"/>
  <c r="O15" i="47"/>
  <c r="N11" i="47"/>
  <c r="H12" i="47"/>
  <c r="G11" i="47"/>
  <c r="L12" i="47"/>
  <c r="L13" i="47"/>
  <c r="L14" i="47"/>
  <c r="L15" i="47"/>
  <c r="L16" i="47"/>
  <c r="L17" i="47"/>
  <c r="L9" i="47"/>
  <c r="H11" i="47"/>
  <c r="M13" i="47"/>
  <c r="M14" i="47"/>
  <c r="M15" i="47"/>
  <c r="M17" i="47"/>
  <c r="M9" i="47"/>
  <c r="N9" i="47"/>
  <c r="K62" i="45"/>
  <c r="K63" i="45"/>
  <c r="K11" i="47"/>
  <c r="P12" i="47"/>
  <c r="P13" i="47"/>
  <c r="S6" i="36" s="1"/>
  <c r="P14" i="47"/>
  <c r="S8" i="36" s="1"/>
  <c r="P15" i="47"/>
  <c r="S10" i="36" s="1"/>
  <c r="P16" i="47"/>
  <c r="S12" i="36" s="1"/>
  <c r="P17" i="47"/>
  <c r="S16" i="36"/>
  <c r="S18" i="36"/>
  <c r="S20" i="36"/>
  <c r="S22" i="36"/>
  <c r="P9" i="47"/>
  <c r="L11" i="47"/>
  <c r="Q15" i="47"/>
  <c r="T10" i="36" s="1"/>
  <c r="Q16" i="47"/>
  <c r="T12" i="36" s="1"/>
  <c r="Q17" i="47"/>
  <c r="T16" i="36"/>
  <c r="T18" i="36"/>
  <c r="T22" i="36"/>
  <c r="Q9" i="47"/>
  <c r="V63" i="45"/>
  <c r="M62" i="45"/>
  <c r="X63" i="45"/>
  <c r="O11" i="47"/>
  <c r="H13" i="47"/>
  <c r="H14" i="47"/>
  <c r="H15" i="47"/>
  <c r="H17" i="47"/>
  <c r="H9" i="47"/>
  <c r="Q11" i="47"/>
  <c r="J12" i="47"/>
  <c r="J13" i="47"/>
  <c r="J14" i="47"/>
  <c r="J15" i="47"/>
  <c r="J17" i="47"/>
  <c r="J9" i="47"/>
  <c r="AA62" i="45"/>
  <c r="W21" i="45"/>
  <c r="AB62" i="45"/>
  <c r="J62" i="45"/>
  <c r="J63" i="45"/>
  <c r="M63" i="45"/>
  <c r="W63" i="45"/>
  <c r="V62" i="45"/>
  <c r="Y63" i="45"/>
  <c r="P62" i="45"/>
  <c r="P63" i="45"/>
  <c r="W62" i="45"/>
  <c r="Z63" i="45"/>
  <c r="X62" i="45"/>
  <c r="AA63" i="45"/>
  <c r="R62" i="45"/>
  <c r="R63" i="45"/>
  <c r="K54" i="44"/>
  <c r="I14" i="47"/>
  <c r="I16" i="47"/>
  <c r="Y6" i="36"/>
  <c r="Y10" i="36"/>
  <c r="Y18" i="36"/>
  <c r="Y22" i="36"/>
  <c r="J16" i="47"/>
  <c r="Z6" i="36"/>
  <c r="Z10" i="36"/>
  <c r="Z18" i="36"/>
  <c r="Z22" i="36"/>
  <c r="K14" i="47"/>
  <c r="U12" i="36"/>
  <c r="U16" i="36"/>
  <c r="U20" i="36"/>
  <c r="V8" i="36"/>
  <c r="V12" i="36"/>
  <c r="V16" i="36"/>
  <c r="V20" i="36"/>
  <c r="M12" i="47"/>
  <c r="M16" i="47"/>
  <c r="W8" i="36"/>
  <c r="W12" i="36"/>
  <c r="W16" i="36"/>
  <c r="W20" i="36"/>
  <c r="P53" i="44"/>
  <c r="N16" i="47"/>
  <c r="X8" i="36"/>
  <c r="X12" i="36"/>
  <c r="X16" i="36"/>
  <c r="X20" i="36"/>
  <c r="O14" i="47"/>
  <c r="O16" i="47"/>
  <c r="Y8" i="36"/>
  <c r="Y12" i="36"/>
  <c r="Y16" i="36"/>
  <c r="Y20" i="36"/>
  <c r="Q12" i="47"/>
  <c r="Q13" i="47"/>
  <c r="T6" i="36" s="1"/>
  <c r="Q14" i="47"/>
  <c r="T8" i="36" s="1"/>
  <c r="T20" i="36"/>
  <c r="U6" i="36"/>
  <c r="U10" i="36"/>
  <c r="U18" i="36"/>
  <c r="U22" i="36"/>
  <c r="F16" i="47"/>
  <c r="V6" i="36"/>
  <c r="V10" i="36"/>
  <c r="V18" i="36"/>
  <c r="V22" i="36"/>
  <c r="G14" i="47"/>
  <c r="W6" i="36"/>
  <c r="W10" i="36"/>
  <c r="W18" i="36"/>
  <c r="W22" i="36"/>
  <c r="H16" i="47"/>
  <c r="U63" i="45"/>
  <c r="L62" i="45"/>
  <c r="L63" i="45"/>
  <c r="N62" i="45"/>
  <c r="N63" i="45"/>
  <c r="U62" i="45"/>
  <c r="O62" i="45"/>
  <c r="O63" i="45"/>
  <c r="Q62" i="45"/>
  <c r="Q63" i="45"/>
  <c r="S62" i="45"/>
  <c r="S63" i="45"/>
  <c r="W46" i="45"/>
  <c r="AA47" i="45"/>
  <c r="W50" i="45"/>
  <c r="AA52" i="45"/>
  <c r="J46" i="45"/>
  <c r="U47" i="45"/>
  <c r="T49" i="45"/>
  <c r="S50" i="45"/>
  <c r="R52" i="45"/>
  <c r="Q53" i="45"/>
  <c r="P44" i="45"/>
  <c r="P41" i="45"/>
  <c r="P42" i="45"/>
  <c r="P43" i="45"/>
  <c r="AB54" i="45"/>
  <c r="S54" i="45"/>
  <c r="S55" i="45"/>
  <c r="V57" i="45"/>
  <c r="W43" i="45"/>
  <c r="AA46" i="45"/>
  <c r="W49" i="45"/>
  <c r="AA50" i="45"/>
  <c r="W53" i="45"/>
  <c r="N46" i="45"/>
  <c r="M47" i="45"/>
  <c r="L49" i="45"/>
  <c r="K50" i="45"/>
  <c r="J52" i="45"/>
  <c r="U53" i="45"/>
  <c r="T40" i="45"/>
  <c r="M25" i="62" s="1"/>
  <c r="T41" i="45"/>
  <c r="T42" i="45"/>
  <c r="T43" i="45"/>
  <c r="K54" i="45"/>
  <c r="K55" i="45"/>
  <c r="W55" i="45"/>
  <c r="N57" i="45"/>
  <c r="Z57" i="45"/>
  <c r="L21" i="45"/>
  <c r="V54" i="45"/>
  <c r="M54" i="45"/>
  <c r="M55" i="45"/>
  <c r="N21" i="45"/>
  <c r="L60" i="45"/>
  <c r="X60" i="45"/>
  <c r="O59" i="45"/>
  <c r="AB57" i="45"/>
  <c r="Q54" i="44"/>
  <c r="V50" i="45"/>
  <c r="X46" i="45"/>
  <c r="AB47" i="45"/>
  <c r="X50" i="45"/>
  <c r="AB52" i="45"/>
  <c r="K46" i="45"/>
  <c r="J47" i="45"/>
  <c r="U49" i="45"/>
  <c r="T50" i="45"/>
  <c r="S52" i="45"/>
  <c r="R53" i="45"/>
  <c r="Q40" i="45"/>
  <c r="J25" i="62" s="1"/>
  <c r="Q41" i="45"/>
  <c r="Q42" i="45"/>
  <c r="Q43" i="45"/>
  <c r="AC54" i="45"/>
  <c r="T54" i="45"/>
  <c r="T55" i="45"/>
  <c r="K57" i="45"/>
  <c r="M54" i="44"/>
  <c r="V43" i="45"/>
  <c r="Z46" i="45"/>
  <c r="Z50" i="45"/>
  <c r="V53" i="45"/>
  <c r="M46" i="45"/>
  <c r="L47" i="45"/>
  <c r="K49" i="45"/>
  <c r="J50" i="45"/>
  <c r="I21" i="45"/>
  <c r="U21" i="45"/>
  <c r="J55" i="45"/>
  <c r="P52" i="44"/>
  <c r="X43" i="45"/>
  <c r="AB46" i="45"/>
  <c r="X49" i="45"/>
  <c r="AB50" i="45"/>
  <c r="X53" i="45"/>
  <c r="O46" i="45"/>
  <c r="N47" i="45"/>
  <c r="M49" i="45"/>
  <c r="L50" i="45"/>
  <c r="K52" i="45"/>
  <c r="J53" i="45"/>
  <c r="Z43" i="45"/>
  <c r="V47" i="45"/>
  <c r="Z49" i="45"/>
  <c r="Z53" i="45"/>
  <c r="Q46" i="45"/>
  <c r="P47" i="45"/>
  <c r="O49" i="45"/>
  <c r="N50" i="45"/>
  <c r="M52" i="45"/>
  <c r="L53" i="45"/>
  <c r="K40" i="45"/>
  <c r="K41" i="45"/>
  <c r="K42" i="45"/>
  <c r="K43" i="45"/>
  <c r="W54" i="45"/>
  <c r="N54" i="45"/>
  <c r="N55" i="45"/>
  <c r="Z55" i="45"/>
  <c r="Q57" i="45"/>
  <c r="AC57" i="45"/>
  <c r="AB43" i="45"/>
  <c r="X47" i="45"/>
  <c r="AB49" i="45"/>
  <c r="X52" i="45"/>
  <c r="AB53" i="45"/>
  <c r="S46" i="45"/>
  <c r="R47" i="45"/>
  <c r="Q49" i="45"/>
  <c r="P50" i="45"/>
  <c r="O52" i="45"/>
  <c r="N53" i="45"/>
  <c r="M40" i="45"/>
  <c r="M41" i="45"/>
  <c r="M42" i="45"/>
  <c r="M43" i="45"/>
  <c r="Y54" i="45"/>
  <c r="P54" i="45"/>
  <c r="P55" i="45"/>
  <c r="AB55" i="45"/>
  <c r="S57" i="45"/>
  <c r="AC43" i="45"/>
  <c r="Y47" i="45"/>
  <c r="AC49" i="45"/>
  <c r="Y52" i="45"/>
  <c r="AC53" i="45"/>
  <c r="T46" i="45"/>
  <c r="S47" i="45"/>
  <c r="R49" i="45"/>
  <c r="Q50" i="45"/>
  <c r="P52" i="45"/>
  <c r="O53" i="45"/>
  <c r="N41" i="45"/>
  <c r="N42" i="45"/>
  <c r="N43" i="45"/>
  <c r="Z54" i="45"/>
  <c r="Q54" i="45"/>
  <c r="Q55" i="45"/>
  <c r="AC55" i="45"/>
  <c r="T57" i="45"/>
  <c r="J21" i="45"/>
  <c r="Z47" i="45"/>
  <c r="Z52" i="45"/>
  <c r="U46" i="45"/>
  <c r="T47" i="45"/>
  <c r="S49" i="45"/>
  <c r="R50" i="45"/>
  <c r="Q52" i="45"/>
  <c r="P53" i="45"/>
  <c r="O44" i="45"/>
  <c r="O41" i="45"/>
  <c r="O42" i="45"/>
  <c r="O43" i="45"/>
  <c r="AA54" i="45"/>
  <c r="R54" i="45"/>
  <c r="R55" i="45"/>
  <c r="U57" i="45"/>
  <c r="L58" i="45"/>
  <c r="X58" i="45"/>
  <c r="O60" i="45"/>
  <c r="AA60" i="45"/>
  <c r="V21" i="45"/>
  <c r="K21" i="45"/>
  <c r="W57" i="45"/>
  <c r="N58" i="45"/>
  <c r="Z58" i="45"/>
  <c r="Q60" i="45"/>
  <c r="AC60" i="45"/>
  <c r="T59" i="45"/>
  <c r="X21" i="45"/>
  <c r="Y46" i="45"/>
  <c r="AC47" i="45"/>
  <c r="Y50" i="45"/>
  <c r="AC52" i="45"/>
  <c r="L46" i="45"/>
  <c r="K47" i="45"/>
  <c r="J49" i="45"/>
  <c r="U50" i="45"/>
  <c r="T52" i="45"/>
  <c r="S53" i="45"/>
  <c r="R40" i="45"/>
  <c r="K25" i="62" s="1"/>
  <c r="R41" i="45"/>
  <c r="R42" i="45"/>
  <c r="R43" i="45"/>
  <c r="U55" i="45"/>
  <c r="L57" i="45"/>
  <c r="X57" i="45"/>
  <c r="M21" i="45"/>
  <c r="Y21" i="45"/>
  <c r="U52" i="45"/>
  <c r="T53" i="45"/>
  <c r="S40" i="45"/>
  <c r="L25" i="62" s="1"/>
  <c r="S41" i="45"/>
  <c r="S42" i="45"/>
  <c r="S43" i="45"/>
  <c r="J54" i="45"/>
  <c r="V55" i="45"/>
  <c r="M57" i="45"/>
  <c r="Y57" i="45"/>
  <c r="P58" i="45"/>
  <c r="AB58" i="45"/>
  <c r="S60" i="45"/>
  <c r="O21" i="45"/>
  <c r="L54" i="45"/>
  <c r="L55" i="45"/>
  <c r="X55" i="45"/>
  <c r="O57" i="45"/>
  <c r="AA57" i="45"/>
  <c r="P21" i="45"/>
  <c r="Y43" i="45"/>
  <c r="AC46" i="45"/>
  <c r="Y49" i="45"/>
  <c r="AC50" i="45"/>
  <c r="Y53" i="45"/>
  <c r="P46" i="45"/>
  <c r="O47" i="45"/>
  <c r="N49" i="45"/>
  <c r="M50" i="45"/>
  <c r="L52" i="45"/>
  <c r="K53" i="45"/>
  <c r="Y55" i="45"/>
  <c r="P57" i="45"/>
  <c r="Q21" i="45"/>
  <c r="R21" i="45"/>
  <c r="AA43" i="45"/>
  <c r="W47" i="45"/>
  <c r="AA49" i="45"/>
  <c r="W52" i="45"/>
  <c r="AA53" i="45"/>
  <c r="R46" i="45"/>
  <c r="Q47" i="45"/>
  <c r="P49" i="45"/>
  <c r="O50" i="45"/>
  <c r="N52" i="45"/>
  <c r="M53" i="45"/>
  <c r="L40" i="45"/>
  <c r="L41" i="45"/>
  <c r="L42" i="45"/>
  <c r="L43" i="45"/>
  <c r="X54" i="45"/>
  <c r="O54"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Y18" i="45"/>
  <c r="W18" i="45"/>
  <c r="V18" i="45"/>
  <c r="U18" i="45"/>
  <c r="T18" i="45"/>
  <c r="J18" i="45"/>
  <c r="K18" i="45"/>
  <c r="S18" i="45"/>
  <c r="L18" i="45"/>
  <c r="M18" i="45"/>
  <c r="N18" i="45"/>
  <c r="O18" i="45"/>
  <c r="P18" i="45"/>
  <c r="P16" i="45" s="1"/>
  <c r="P15" i="45" s="1"/>
  <c r="Q18" i="45"/>
  <c r="R18" i="45"/>
  <c r="X18" i="45"/>
  <c r="O54" i="44"/>
  <c r="L53"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T8" i="50"/>
  <c r="M8" i="50"/>
  <c r="U8" i="50"/>
  <c r="AQ4" i="36" s="1"/>
  <c r="P8" i="50"/>
  <c r="Q8" i="50"/>
  <c r="R8" i="50"/>
  <c r="K8" i="50"/>
  <c r="V8" i="50"/>
  <c r="AR4" i="36" s="1"/>
  <c r="O8" i="50"/>
  <c r="H8" i="50"/>
  <c r="I2" i="51"/>
  <c r="H2" i="51"/>
  <c r="G2" i="51"/>
  <c r="F2" i="51"/>
  <c r="C2" i="51"/>
  <c r="B2" i="51"/>
  <c r="J67" i="45"/>
  <c r="V67" i="45"/>
  <c r="AB10" i="45" a="1"/>
  <c r="AB10" i="45" s="1"/>
  <c r="AA10" i="45" a="1"/>
  <c r="AA10" i="45" s="1"/>
  <c r="Z10" i="45" a="1"/>
  <c r="Z10" i="45" s="1"/>
  <c r="Y10" i="45" a="1"/>
  <c r="Y10" i="45" s="1"/>
  <c r="X10" i="45" a="1"/>
  <c r="X10" i="45" s="1"/>
  <c r="W10" i="45" a="1"/>
  <c r="W10" i="45" s="1"/>
  <c r="V10" i="45" a="1"/>
  <c r="V10" i="45" s="1"/>
  <c r="U10" i="45" a="1"/>
  <c r="U10" i="45" s="1"/>
  <c r="U42" i="45" s="1"/>
  <c r="AB9" i="45" a="1"/>
  <c r="AB9" i="45" s="1"/>
  <c r="AA9" i="45" a="1"/>
  <c r="AA9" i="45" s="1"/>
  <c r="Z9" i="45" a="1"/>
  <c r="Z9" i="45" s="1"/>
  <c r="Y9" i="45" a="1"/>
  <c r="Y9" i="45" s="1"/>
  <c r="X9" i="45" a="1"/>
  <c r="X9" i="45" s="1"/>
  <c r="W9" i="45" a="1"/>
  <c r="W9" i="45" s="1"/>
  <c r="V9" i="45" a="1"/>
  <c r="V9" i="45" s="1"/>
  <c r="V41" i="45" s="1"/>
  <c r="AB8" i="45" a="1"/>
  <c r="AB8" i="45" s="1"/>
  <c r="AA8" i="45" a="1"/>
  <c r="AA8" i="45" s="1"/>
  <c r="Z8" i="45" a="1"/>
  <c r="Z8" i="45" s="1"/>
  <c r="Y8" i="45" a="1"/>
  <c r="Y8" i="45" s="1"/>
  <c r="X8" i="45" a="1"/>
  <c r="X8" i="45" s="1"/>
  <c r="W8" i="45" a="1"/>
  <c r="W8" i="45" s="1"/>
  <c r="V8" i="45" a="1"/>
  <c r="V8" i="45" s="1"/>
  <c r="D11" i="32"/>
  <c r="D10" i="32"/>
  <c r="C13" i="50"/>
  <c r="AA13" i="47" l="1"/>
  <c r="AA12" i="47"/>
  <c r="Z12" i="47"/>
  <c r="Z13" i="47"/>
  <c r="J11" i="44"/>
  <c r="J9" i="44" s="1"/>
  <c r="L11" i="44"/>
  <c r="L9" i="44" s="1"/>
  <c r="V11" i="44"/>
  <c r="V9" i="44" s="1"/>
  <c r="Z44" i="44"/>
  <c r="Z9" i="44"/>
  <c r="Z40" i="44" s="1"/>
  <c r="W11" i="44"/>
  <c r="W9" i="44" s="1"/>
  <c r="O11" i="44"/>
  <c r="O9" i="44" s="1"/>
  <c r="AC16" i="45"/>
  <c r="AC15" i="45" s="1"/>
  <c r="S11" i="44"/>
  <c r="S9" i="44" s="1"/>
  <c r="T9" i="44"/>
  <c r="T45" i="44"/>
  <c r="T27" i="49" s="1"/>
  <c r="M11" i="44"/>
  <c r="M9" i="44" s="1"/>
  <c r="K11" i="44"/>
  <c r="K9" i="44" s="1"/>
  <c r="T53" i="44"/>
  <c r="D22" i="51" s="1"/>
  <c r="Q11" i="44"/>
  <c r="Q9" i="44" s="1"/>
  <c r="Z52" i="44"/>
  <c r="Y11" i="44"/>
  <c r="Y9" i="44" s="1"/>
  <c r="T44" i="44"/>
  <c r="T51" i="44"/>
  <c r="T46" i="44"/>
  <c r="T47" i="44"/>
  <c r="AW9" i="49"/>
  <c r="AI12" i="49"/>
  <c r="Z16" i="45"/>
  <c r="Z15" i="45" s="1"/>
  <c r="AA16" i="45"/>
  <c r="AA15" i="45" s="1"/>
  <c r="AB8" i="44"/>
  <c r="AC8" i="44" s="1"/>
  <c r="AD8" i="44" s="1"/>
  <c r="AI11" i="49"/>
  <c r="V16" i="45"/>
  <c r="V15" i="45" s="1"/>
  <c r="W16" i="45"/>
  <c r="W15" i="45" s="1"/>
  <c r="U53" i="44"/>
  <c r="AQ12" i="49"/>
  <c r="V52" i="44"/>
  <c r="U52" i="44"/>
  <c r="U54" i="44"/>
  <c r="J23" i="51"/>
  <c r="AC40" i="45"/>
  <c r="M28" i="49"/>
  <c r="R28" i="49"/>
  <c r="S28" i="49"/>
  <c r="Y16" i="45"/>
  <c r="Y15" i="45" s="1"/>
  <c r="L28" i="49"/>
  <c r="N28" i="49"/>
  <c r="O28" i="49"/>
  <c r="P28" i="49"/>
  <c r="N16" i="45"/>
  <c r="N15" i="45" s="1"/>
  <c r="Q28" i="49"/>
  <c r="G32" i="47"/>
  <c r="J28" i="49"/>
  <c r="K2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R16" i="45"/>
  <c r="R15" i="45" s="1"/>
  <c r="AO11" i="49"/>
  <c r="Q16" i="45"/>
  <c r="Q15" i="45" s="1"/>
  <c r="K16" i="45"/>
  <c r="K15" i="45" s="1"/>
  <c r="AM11" i="49"/>
  <c r="H32" i="47"/>
  <c r="X51" i="45"/>
  <c r="J32" i="47"/>
  <c r="L32" i="47"/>
  <c r="AO12" i="49"/>
  <c r="M32" i="47"/>
  <c r="AK12" i="49"/>
  <c r="O32" i="47"/>
  <c r="Q32" i="47"/>
  <c r="P32" i="47"/>
  <c r="S32" i="47"/>
  <c r="T32" i="47"/>
  <c r="V32" i="47"/>
  <c r="AO10" i="49"/>
  <c r="AN10" i="49"/>
  <c r="Q10" i="49" s="1"/>
  <c r="J52" i="44"/>
  <c r="AG10" i="49"/>
  <c r="AW12" i="49"/>
  <c r="AN11" i="49"/>
  <c r="AL10" i="49"/>
  <c r="AP11" i="49"/>
  <c r="AJ10" i="49"/>
  <c r="S52" i="44"/>
  <c r="C21" i="51" s="1"/>
  <c r="AP10" i="49"/>
  <c r="K52" i="44"/>
  <c r="AH10" i="49"/>
  <c r="AK10" i="49"/>
  <c r="L52" i="44"/>
  <c r="AI10" i="49"/>
  <c r="AW10" i="49"/>
  <c r="AH12" i="49"/>
  <c r="AN12" i="49"/>
  <c r="AJ12" i="49"/>
  <c r="K53" i="44"/>
  <c r="AH11" i="49"/>
  <c r="M53" i="44"/>
  <c r="AJ11" i="49"/>
  <c r="N54" i="44"/>
  <c r="AK11" i="49"/>
  <c r="AG12" i="49"/>
  <c r="AL12" i="49"/>
  <c r="AP12" i="49"/>
  <c r="O53" i="44"/>
  <c r="AL11" i="49"/>
  <c r="J54" i="44"/>
  <c r="AG11" i="49"/>
  <c r="AW11" i="49"/>
  <c r="W51" i="45"/>
  <c r="R44" i="45"/>
  <c r="M51" i="45"/>
  <c r="Z51" i="45"/>
  <c r="Z41" i="45"/>
  <c r="O51" i="45"/>
  <c r="AB42" i="45"/>
  <c r="AC51" i="45"/>
  <c r="J51" i="45"/>
  <c r="W41" i="45"/>
  <c r="W42" i="45"/>
  <c r="W48" i="45"/>
  <c r="Z42" i="45"/>
  <c r="R51" i="45"/>
  <c r="S51" i="45"/>
  <c r="AB41" i="45"/>
  <c r="U44" i="45"/>
  <c r="D23" i="51"/>
  <c r="X48" i="45"/>
  <c r="P48" i="45"/>
  <c r="N52" i="44"/>
  <c r="S48" i="45"/>
  <c r="AB48" i="45"/>
  <c r="I52" i="44"/>
  <c r="L44" i="45"/>
  <c r="L48" i="45"/>
  <c r="K48" i="45"/>
  <c r="AB51" i="45"/>
  <c r="M52" i="44"/>
  <c r="N48" i="45"/>
  <c r="X42" i="45"/>
  <c r="J48" i="45"/>
  <c r="V48" i="45"/>
  <c r="AA48" i="45"/>
  <c r="S44" i="45"/>
  <c r="V42" i="45"/>
  <c r="AA12" i="45"/>
  <c r="AA40" i="45"/>
  <c r="Q48" i="45"/>
  <c r="U51" i="45"/>
  <c r="X40" i="45"/>
  <c r="Q25" i="62" s="1"/>
  <c r="X12" i="45"/>
  <c r="AA41" i="45"/>
  <c r="T51" i="45"/>
  <c r="O48" i="45"/>
  <c r="L51" i="45"/>
  <c r="V40" i="45"/>
  <c r="O25" i="62" s="1"/>
  <c r="V12" i="45"/>
  <c r="V44" i="45" s="1"/>
  <c r="AC41" i="45"/>
  <c r="X41" i="45"/>
  <c r="M48" i="45"/>
  <c r="M44" i="45"/>
  <c r="V51" i="45"/>
  <c r="K51" i="45"/>
  <c r="Y48" i="45"/>
  <c r="AC42" i="45"/>
  <c r="Y41" i="45"/>
  <c r="Y42" i="45"/>
  <c r="Y51" i="45"/>
  <c r="AC48" i="45"/>
  <c r="Q51" i="45"/>
  <c r="W40" i="45"/>
  <c r="P25" i="62" s="1"/>
  <c r="W12" i="45"/>
  <c r="T48" i="45"/>
  <c r="Z48" i="45"/>
  <c r="Y40" i="45"/>
  <c r="R25" i="62" s="1"/>
  <c r="Y12" i="45"/>
  <c r="AA42" i="45"/>
  <c r="N51" i="45"/>
  <c r="U48" i="45"/>
  <c r="N44" i="45"/>
  <c r="Z12" i="45"/>
  <c r="Z40" i="45"/>
  <c r="S25" i="62" s="1"/>
  <c r="AB12" i="45"/>
  <c r="AC44" i="45" s="1"/>
  <c r="AB40" i="45"/>
  <c r="P51" i="45"/>
  <c r="AA51" i="45"/>
  <c r="R48" i="45"/>
  <c r="T44" i="45"/>
  <c r="S53" i="44"/>
  <c r="C22" i="51" s="1"/>
  <c r="O52" i="44"/>
  <c r="I53" i="44"/>
  <c r="Q53" i="44"/>
  <c r="J22" i="51"/>
  <c r="Q52" i="44"/>
  <c r="R52" i="44"/>
  <c r="B21" i="51" s="1"/>
  <c r="L45" i="44" l="1"/>
  <c r="Y16" i="47"/>
  <c r="Y17" i="47"/>
  <c r="U25" i="62"/>
  <c r="Z8" i="47"/>
  <c r="X15" i="47"/>
  <c r="X14" i="47"/>
  <c r="AA14" i="47"/>
  <c r="AA15" i="47"/>
  <c r="T25" i="62"/>
  <c r="Y8" i="47"/>
  <c r="Y15" i="47"/>
  <c r="Y14" i="47"/>
  <c r="Z17" i="47"/>
  <c r="Z16" i="47"/>
  <c r="Z14" i="47"/>
  <c r="Z15" i="47"/>
  <c r="AA16" i="47"/>
  <c r="AA17" i="47"/>
  <c r="X17" i="47"/>
  <c r="X16" i="47"/>
  <c r="V25" i="62"/>
  <c r="AA8" i="47"/>
  <c r="M11" i="49"/>
  <c r="V19" i="50"/>
  <c r="J21" i="51"/>
  <c r="Z45" i="44"/>
  <c r="Z51" i="44"/>
  <c r="Z46" i="44"/>
  <c r="Z47" i="44"/>
  <c r="W10" i="47"/>
  <c r="T8" i="47"/>
  <c r="T10" i="47"/>
  <c r="V8" i="47"/>
  <c r="U10" i="47"/>
  <c r="V10" i="47"/>
  <c r="U45" i="44"/>
  <c r="V54" i="44"/>
  <c r="W53" i="44"/>
  <c r="V53" i="44"/>
  <c r="V45" i="44"/>
  <c r="S11" i="49"/>
  <c r="B16" i="51"/>
  <c r="B17" i="51"/>
  <c r="B15" i="51"/>
  <c r="B18" i="51"/>
  <c r="B20" i="51"/>
  <c r="B19" i="51"/>
  <c r="R45" i="44"/>
  <c r="O12" i="49"/>
  <c r="K10" i="49"/>
  <c r="N10" i="49"/>
  <c r="I47" i="44"/>
  <c r="I51" i="44"/>
  <c r="I44" i="44"/>
  <c r="I45" i="44"/>
  <c r="I46" i="44"/>
  <c r="O11" i="49"/>
  <c r="P11" i="49"/>
  <c r="L10" i="49"/>
  <c r="I10" i="47"/>
  <c r="S12" i="49"/>
  <c r="T12" i="49"/>
  <c r="L11" i="49"/>
  <c r="K11" i="49"/>
  <c r="O10" i="49"/>
  <c r="P10" i="49"/>
  <c r="M12" i="49"/>
  <c r="N12" i="49"/>
  <c r="R12" i="49"/>
  <c r="O10" i="47"/>
  <c r="L12" i="49"/>
  <c r="K12" i="49"/>
  <c r="T10" i="49"/>
  <c r="S10" i="49"/>
  <c r="Q11" i="49"/>
  <c r="R11" i="49"/>
  <c r="R10" i="49"/>
  <c r="N11" i="49"/>
  <c r="R51" i="44"/>
  <c r="R46" i="44"/>
  <c r="R47" i="44"/>
  <c r="R44" i="44"/>
  <c r="M10" i="49"/>
  <c r="L51" i="44"/>
  <c r="L46" i="44"/>
  <c r="L44" i="44"/>
  <c r="L47" i="44"/>
  <c r="AR10" i="49"/>
  <c r="U10" i="49" s="1"/>
  <c r="AM12" i="49"/>
  <c r="P12" i="49" s="1"/>
  <c r="AQ11" i="49"/>
  <c r="T11" i="49" s="1"/>
  <c r="AR11" i="49"/>
  <c r="AR12" i="49"/>
  <c r="U12" i="49" s="1"/>
  <c r="E22" i="51"/>
  <c r="E21" i="51"/>
  <c r="E23" i="51"/>
  <c r="X44" i="45"/>
  <c r="Y44" i="45"/>
  <c r="AB44" i="45"/>
  <c r="W44" i="45"/>
  <c r="Z44" i="45"/>
  <c r="AA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33" i="51" s="1"/>
  <c r="X6" i="46" a="1"/>
  <c r="X6" i="46" s="1"/>
  <c r="W6" i="46" a="1"/>
  <c r="W6" i="46" s="1"/>
  <c r="W21" i="46" s="1"/>
  <c r="V6" i="46" a="1"/>
  <c r="V6" i="46" s="1"/>
  <c r="V21" i="46" s="1"/>
  <c r="U6" i="46" a="1"/>
  <c r="U6" i="46" s="1"/>
  <c r="T6" i="46" a="1"/>
  <c r="T6" i="46" s="1"/>
  <c r="S6" i="46" a="1"/>
  <c r="S6" i="46" s="1"/>
  <c r="R6" i="46" a="1"/>
  <c r="R6" i="46" s="1"/>
  <c r="Q6" i="46" a="1"/>
  <c r="Q6" i="46" s="1"/>
  <c r="P6" i="46" a="1"/>
  <c r="P6" i="46" s="1"/>
  <c r="D33" i="51" s="1"/>
  <c r="O6" i="46" a="1"/>
  <c r="O6" i="46" s="1"/>
  <c r="N6" i="46" a="1"/>
  <c r="N6" i="46" s="1"/>
  <c r="B33" i="51" s="1"/>
  <c r="M6" i="46" a="1"/>
  <c r="M6" i="46" s="1"/>
  <c r="L6" i="46" a="1"/>
  <c r="L6" i="46" s="1"/>
  <c r="K6" i="46" a="1"/>
  <c r="K6" i="46" s="1"/>
  <c r="J6" i="46" a="1"/>
  <c r="J6" i="46" s="1"/>
  <c r="I6" i="46" a="1"/>
  <c r="I6" i="46" s="1"/>
  <c r="H6" i="46" a="1"/>
  <c r="H6" i="46" s="1"/>
  <c r="G6" i="46" a="1"/>
  <c r="G6" i="46" s="1"/>
  <c r="F6" i="46" a="1"/>
  <c r="F6" i="46" s="1"/>
  <c r="Y8" i="46" a="1"/>
  <c r="Y8" i="46" s="1"/>
  <c r="X8" i="46" a="1"/>
  <c r="X8" i="46" s="1"/>
  <c r="Z27" i="49" l="1"/>
  <c r="T42" i="44"/>
  <c r="T40" i="44"/>
  <c r="T41" i="44" s="1"/>
  <c r="N44" i="44"/>
  <c r="W8" i="47"/>
  <c r="Z42" i="44"/>
  <c r="N46" i="44"/>
  <c r="K10" i="47"/>
  <c r="R10" i="47"/>
  <c r="S10" i="47"/>
  <c r="U46" i="44"/>
  <c r="U8" i="47"/>
  <c r="U47" i="44"/>
  <c r="U44" i="44"/>
  <c r="U51" i="44"/>
  <c r="V47" i="44"/>
  <c r="X54" i="44"/>
  <c r="X52" i="44"/>
  <c r="W52" i="44"/>
  <c r="Z41" i="44"/>
  <c r="W54" i="44"/>
  <c r="V44" i="44"/>
  <c r="V51" i="44"/>
  <c r="X53" i="44"/>
  <c r="V46" i="44"/>
  <c r="C16" i="51"/>
  <c r="C15" i="51"/>
  <c r="C17" i="51"/>
  <c r="C18" i="51"/>
  <c r="C19" i="51"/>
  <c r="C20" i="51"/>
  <c r="J16" i="51"/>
  <c r="J17" i="51"/>
  <c r="J18" i="51"/>
  <c r="J19" i="51"/>
  <c r="J20" i="51"/>
  <c r="J15" i="51"/>
  <c r="D20" i="51"/>
  <c r="D16" i="51"/>
  <c r="D18" i="51"/>
  <c r="D19" i="51"/>
  <c r="D15" i="51"/>
  <c r="D17" i="51"/>
  <c r="I27" i="49"/>
  <c r="R27" i="49"/>
  <c r="B8" i="51" s="1"/>
  <c r="L27" i="49"/>
  <c r="N51" i="44"/>
  <c r="U11" i="49"/>
  <c r="N47" i="44"/>
  <c r="N45" i="44"/>
  <c r="Q51" i="44"/>
  <c r="Q47" i="44"/>
  <c r="Q44" i="44"/>
  <c r="N10" i="47"/>
  <c r="Q46" i="44"/>
  <c r="Q45" i="44"/>
  <c r="G10" i="47"/>
  <c r="J46" i="44"/>
  <c r="J51" i="44"/>
  <c r="J44" i="44"/>
  <c r="J47" i="44"/>
  <c r="J45" i="44"/>
  <c r="R42" i="44"/>
  <c r="R40" i="44"/>
  <c r="R41" i="44" s="1"/>
  <c r="Q12" i="49"/>
  <c r="M47" i="44"/>
  <c r="M51" i="44"/>
  <c r="M44" i="44"/>
  <c r="J10" i="47"/>
  <c r="M46" i="44"/>
  <c r="M45" i="44"/>
  <c r="O44" i="44"/>
  <c r="L10" i="47"/>
  <c r="O47" i="44"/>
  <c r="O51" i="44"/>
  <c r="O46" i="44"/>
  <c r="O45" i="44"/>
  <c r="N40" i="44"/>
  <c r="N41" i="44" s="1"/>
  <c r="N42" i="44"/>
  <c r="Q10" i="47"/>
  <c r="L40" i="44"/>
  <c r="L41" i="44" s="1"/>
  <c r="L42" i="44"/>
  <c r="S51" i="44"/>
  <c r="S44" i="44"/>
  <c r="S47" i="44"/>
  <c r="P10" i="47"/>
  <c r="S46" i="44"/>
  <c r="S45" i="44"/>
  <c r="I40" i="44"/>
  <c r="I41" i="44" s="1"/>
  <c r="I42" i="44"/>
  <c r="P45" i="44"/>
  <c r="P46" i="44"/>
  <c r="P51" i="44"/>
  <c r="M10" i="47"/>
  <c r="P44" i="44"/>
  <c r="P47" i="44"/>
  <c r="K51" i="44"/>
  <c r="K47" i="44"/>
  <c r="H10" i="47"/>
  <c r="K44" i="44"/>
  <c r="K46" i="44"/>
  <c r="K45" i="44"/>
  <c r="AS10" i="49"/>
  <c r="V10" i="49" s="1"/>
  <c r="AS12" i="49"/>
  <c r="V12" i="49" s="1"/>
  <c r="F22" i="51"/>
  <c r="AS11" i="49"/>
  <c r="V11" i="49" s="1"/>
  <c r="F23" i="51"/>
  <c r="F21" i="51"/>
  <c r="C33" i="51"/>
  <c r="E33" i="51"/>
  <c r="F33" i="51"/>
  <c r="G33" i="51"/>
  <c r="H33" i="51"/>
  <c r="I33" i="51"/>
  <c r="J33" i="51"/>
  <c r="K33" i="51"/>
  <c r="L33" i="51"/>
  <c r="U19" i="50"/>
  <c r="AQ7" i="36" s="1"/>
  <c r="Z7" i="46"/>
  <c r="Z9" i="46" s="1"/>
  <c r="W32" i="47"/>
  <c r="AA30" i="36" s="1"/>
  <c r="AA35" i="36"/>
  <c r="AA42" i="36"/>
  <c r="AA34" i="36"/>
  <c r="AA41" i="36"/>
  <c r="AA31" i="36"/>
  <c r="AA40" i="36"/>
  <c r="Z26" i="36"/>
  <c r="Z24" i="36"/>
  <c r="Z14" i="36"/>
  <c r="U27" i="49" l="1"/>
  <c r="V27" i="49"/>
  <c r="R8" i="47"/>
  <c r="S8" i="47"/>
  <c r="U42" i="44"/>
  <c r="U43" i="44" s="1"/>
  <c r="U40" i="44"/>
  <c r="U41" i="44" s="1"/>
  <c r="W44" i="44"/>
  <c r="W51" i="44"/>
  <c r="W47" i="44"/>
  <c r="W45" i="44"/>
  <c r="W46" i="44"/>
  <c r="V40" i="44"/>
  <c r="V41" i="44" s="1"/>
  <c r="V42" i="44"/>
  <c r="Y53" i="44"/>
  <c r="Y52" i="44"/>
  <c r="Y54" i="44"/>
  <c r="E20" i="51"/>
  <c r="E17" i="51"/>
  <c r="E18" i="51"/>
  <c r="E19" i="51"/>
  <c r="E15" i="51"/>
  <c r="E16" i="51"/>
  <c r="AA44" i="36"/>
  <c r="Q27" i="49"/>
  <c r="N27" i="49"/>
  <c r="P27" i="49"/>
  <c r="J27" i="49"/>
  <c r="S27" i="49"/>
  <c r="C8" i="51" s="1"/>
  <c r="O27" i="49"/>
  <c r="J8" i="51"/>
  <c r="K27" i="49"/>
  <c r="D8" i="51"/>
  <c r="M27" i="49"/>
  <c r="P42" i="44"/>
  <c r="P40" i="44"/>
  <c r="P41" i="44" s="1"/>
  <c r="O42" i="44"/>
  <c r="O40" i="44"/>
  <c r="O41" i="44" s="1"/>
  <c r="J13" i="51"/>
  <c r="J14" i="51"/>
  <c r="J42" i="44"/>
  <c r="J40" i="44"/>
  <c r="J41" i="44" s="1"/>
  <c r="K42" i="44"/>
  <c r="K40" i="44"/>
  <c r="K41" i="44" s="1"/>
  <c r="Q42" i="44"/>
  <c r="Q40" i="44"/>
  <c r="Q41" i="44" s="1"/>
  <c r="M42" i="44"/>
  <c r="M40" i="44"/>
  <c r="M41" i="44" s="1"/>
  <c r="S42" i="44"/>
  <c r="C14" i="51" s="1"/>
  <c r="S40" i="44"/>
  <c r="S41" i="44" s="1"/>
  <c r="AT10" i="49"/>
  <c r="W10" i="49" s="1"/>
  <c r="G22" i="51"/>
  <c r="AT11" i="49"/>
  <c r="AT12" i="49"/>
  <c r="W12" i="49" s="1"/>
  <c r="G21" i="51"/>
  <c r="G23" i="51"/>
  <c r="B13" i="51"/>
  <c r="Z4" i="36"/>
  <c r="B14" i="51"/>
  <c r="D14" i="51"/>
  <c r="W27" i="49" l="1"/>
  <c r="V43" i="44"/>
  <c r="X44" i="44"/>
  <c r="X51" i="44"/>
  <c r="X47" i="44"/>
  <c r="X45" i="44"/>
  <c r="X46" i="44"/>
  <c r="W40" i="44"/>
  <c r="W41" i="44" s="1"/>
  <c r="W42" i="44"/>
  <c r="W43" i="44" s="1"/>
  <c r="F16" i="51"/>
  <c r="F15" i="51"/>
  <c r="F20" i="51"/>
  <c r="F17" i="51"/>
  <c r="F19" i="51"/>
  <c r="F18" i="51"/>
  <c r="C13" i="51"/>
  <c r="E8" i="51"/>
  <c r="W11" i="49"/>
  <c r="D13" i="51"/>
  <c r="AU12" i="49"/>
  <c r="AU10" i="49"/>
  <c r="X10" i="49" s="1"/>
  <c r="H22" i="51"/>
  <c r="AU11" i="49"/>
  <c r="X11" i="49" s="1"/>
  <c r="AB70" i="44"/>
  <c r="H23" i="51"/>
  <c r="H21" i="51"/>
  <c r="AB72" i="44"/>
  <c r="AB71" i="44"/>
  <c r="P50" i="37"/>
  <c r="X27" i="49" l="1"/>
  <c r="Y44" i="44"/>
  <c r="Y51" i="44"/>
  <c r="Y46" i="44"/>
  <c r="Y45" i="44"/>
  <c r="Y47" i="44"/>
  <c r="X40" i="44"/>
  <c r="X41" i="44" s="1"/>
  <c r="X42" i="44"/>
  <c r="X43" i="44" s="1"/>
  <c r="G19" i="51"/>
  <c r="G16" i="51"/>
  <c r="G20" i="51"/>
  <c r="G18" i="51"/>
  <c r="G17" i="51"/>
  <c r="G15" i="51"/>
  <c r="F8" i="51"/>
  <c r="E14" i="51"/>
  <c r="AB69" i="44"/>
  <c r="AB65" i="44"/>
  <c r="AB67" i="44"/>
  <c r="AB68" i="44"/>
  <c r="E13" i="51"/>
  <c r="X12" i="49"/>
  <c r="AV10" i="49"/>
  <c r="AV12" i="49"/>
  <c r="Z12" i="49" s="1"/>
  <c r="AV11" i="49"/>
  <c r="I22" i="51"/>
  <c r="I21" i="51"/>
  <c r="I23" i="51"/>
  <c r="C6" i="61"/>
  <c r="B6" i="61"/>
  <c r="C5" i="61"/>
  <c r="B5" i="61"/>
  <c r="C4" i="61"/>
  <c r="B4" i="61"/>
  <c r="C3" i="61"/>
  <c r="B3" i="61"/>
  <c r="C2" i="61"/>
  <c r="B2" i="61"/>
  <c r="F2" i="57"/>
  <c r="C2" i="57"/>
  <c r="B2" i="57"/>
  <c r="A2" i="57"/>
  <c r="Y27" i="49" l="1"/>
  <c r="W38" i="47" s="1"/>
  <c r="AA43" i="36" s="1"/>
  <c r="Y40" i="44"/>
  <c r="Y41" i="44" s="1"/>
  <c r="Y42" i="44"/>
  <c r="H15" i="51"/>
  <c r="H19" i="51"/>
  <c r="H16" i="51"/>
  <c r="H20" i="51"/>
  <c r="H17" i="51"/>
  <c r="H18" i="51"/>
  <c r="AB66" i="44"/>
  <c r="G8" i="51"/>
  <c r="Y12" i="49"/>
  <c r="F14" i="51"/>
  <c r="Y11" i="49"/>
  <c r="Z11" i="49"/>
  <c r="F13" i="51"/>
  <c r="Y10" i="49"/>
  <c r="Z10" i="49"/>
  <c r="N5" i="52"/>
  <c r="N6" i="52" s="1"/>
  <c r="N7" i="52" s="1"/>
  <c r="N8" i="52" s="1"/>
  <c r="N9" i="52" s="1"/>
  <c r="N10" i="52" s="1"/>
  <c r="N13" i="52" s="1"/>
  <c r="N14" i="52" s="1"/>
  <c r="N15" i="52" s="1"/>
  <c r="N16" i="52" s="1"/>
  <c r="N17" i="52" s="1"/>
  <c r="N18" i="52" s="1"/>
  <c r="AD1" i="51"/>
  <c r="A11" i="50"/>
  <c r="A10" i="50"/>
  <c r="N39" i="47"/>
  <c r="J39" i="47"/>
  <c r="F39" i="47"/>
  <c r="Q38" i="47"/>
  <c r="S42" i="36"/>
  <c r="A31" i="48"/>
  <c r="B31" i="48"/>
  <c r="B11" i="48"/>
  <c r="A11" i="48"/>
  <c r="A8" i="46"/>
  <c r="A6" i="46"/>
  <c r="Q35" i="48" l="1" a="1"/>
  <c r="Q35" i="48" s="1"/>
  <c r="P33" i="48" a="1"/>
  <c r="P33" i="48" s="1"/>
  <c r="P35" i="48" a="1"/>
  <c r="P35" i="48" s="1"/>
  <c r="R32" i="48" a="1"/>
  <c r="R32" i="48" s="1"/>
  <c r="R31" i="48" a="1"/>
  <c r="R31" i="48" s="1"/>
  <c r="Q31" i="48" a="1"/>
  <c r="Q31" i="48" s="1"/>
  <c r="P32" i="48" a="1"/>
  <c r="P32" i="48" s="1"/>
  <c r="P31" i="48" a="1"/>
  <c r="P31" i="48" s="1"/>
  <c r="R34" i="48" a="1"/>
  <c r="R34" i="48" s="1"/>
  <c r="Q36" i="48" a="1"/>
  <c r="Q36" i="48" s="1"/>
  <c r="Q34" i="48" a="1"/>
  <c r="Q34" i="48" s="1"/>
  <c r="P36" i="48" a="1"/>
  <c r="P36" i="48" s="1"/>
  <c r="P34" i="48" a="1"/>
  <c r="P34" i="48" s="1"/>
  <c r="Q30" i="48" a="1"/>
  <c r="Q30" i="48" s="1"/>
  <c r="Q32" i="48" a="1"/>
  <c r="Q32" i="48" s="1"/>
  <c r="P30" i="48" a="1"/>
  <c r="P30" i="48" s="1"/>
  <c r="Q33" i="48" a="1"/>
  <c r="Q33" i="48" s="1"/>
  <c r="R33" i="48" a="1"/>
  <c r="R33" i="48" s="1"/>
  <c r="R30" i="48" a="1"/>
  <c r="R30" i="48" s="1"/>
  <c r="R35" i="48" a="1"/>
  <c r="R35" i="48" s="1"/>
  <c r="R36" i="48" a="1"/>
  <c r="R36" i="48" s="1"/>
  <c r="P12" i="48" a="1"/>
  <c r="P12" i="48" s="1"/>
  <c r="R17" i="48" a="1"/>
  <c r="R17" i="48" s="1"/>
  <c r="R16" i="48" a="1"/>
  <c r="R16" i="48" s="1"/>
  <c r="R15" i="48" a="1"/>
  <c r="R15" i="48" s="1"/>
  <c r="R14" i="48" a="1"/>
  <c r="R14" i="48" s="1"/>
  <c r="R10" i="48" a="1"/>
  <c r="R10" i="48" s="1"/>
  <c r="R13" i="48" a="1"/>
  <c r="R13" i="48" s="1"/>
  <c r="L13" i="48" s="1"/>
  <c r="Y13" i="47" s="1"/>
  <c r="P17" i="48" a="1"/>
  <c r="P17" i="48" s="1"/>
  <c r="R12" i="48" a="1"/>
  <c r="R12" i="48" s="1"/>
  <c r="L12" i="48" s="1"/>
  <c r="Y12" i="47" s="1"/>
  <c r="P16" i="48" a="1"/>
  <c r="P16" i="48" s="1"/>
  <c r="P15" i="48" a="1"/>
  <c r="P15" i="48" s="1"/>
  <c r="P10" i="48" a="1"/>
  <c r="P10" i="48" s="1"/>
  <c r="P14" i="48" a="1"/>
  <c r="P14" i="48" s="1"/>
  <c r="P13" i="48" a="1"/>
  <c r="P13" i="48" s="1"/>
  <c r="AC28" i="51"/>
  <c r="AC27" i="51"/>
  <c r="AC11" i="51"/>
  <c r="AC5" i="51"/>
  <c r="AC10" i="51"/>
  <c r="AC4" i="51"/>
  <c r="AC18" i="51"/>
  <c r="U18" i="51" s="1"/>
  <c r="AC9" i="51"/>
  <c r="P9" i="51" s="1"/>
  <c r="AC3" i="51"/>
  <c r="AC8" i="51"/>
  <c r="AC2" i="51"/>
  <c r="P2" i="51" s="1"/>
  <c r="AC15" i="51"/>
  <c r="AC14" i="51"/>
  <c r="AC13" i="51"/>
  <c r="AC12" i="51"/>
  <c r="AC21" i="51"/>
  <c r="AC33" i="51"/>
  <c r="AC7" i="51"/>
  <c r="AC24" i="51"/>
  <c r="AC6" i="51"/>
  <c r="Y43" i="44"/>
  <c r="I15" i="51"/>
  <c r="I19" i="51"/>
  <c r="I16" i="51"/>
  <c r="I18" i="51"/>
  <c r="I17" i="51"/>
  <c r="I20" i="51"/>
  <c r="H8" i="51"/>
  <c r="AB63" i="44"/>
  <c r="G13" i="51"/>
  <c r="AB62" i="44"/>
  <c r="G14" i="51"/>
  <c r="AB64" i="44"/>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T42" i="36"/>
  <c r="U42" i="36"/>
  <c r="T34" i="36"/>
  <c r="U34" i="36"/>
  <c r="X30" i="36"/>
  <c r="S34" i="36"/>
  <c r="U43" i="36"/>
  <c r="T43" i="36"/>
  <c r="T26" i="36"/>
  <c r="T14" i="36"/>
  <c r="T24" i="36"/>
  <c r="T4" i="36"/>
  <c r="W7" i="46"/>
  <c r="S7" i="46"/>
  <c r="O7" i="46"/>
  <c r="K7" i="46"/>
  <c r="I38" i="47"/>
  <c r="M38" i="47"/>
  <c r="J38" i="47"/>
  <c r="N38" i="47"/>
  <c r="V38" i="47"/>
  <c r="T39" i="47"/>
  <c r="X44" i="36" s="1"/>
  <c r="O39" i="47"/>
  <c r="K39" i="47"/>
  <c r="R38" i="47"/>
  <c r="V43" i="36" s="1"/>
  <c r="R39" i="47"/>
  <c r="V44" i="36" s="1"/>
  <c r="G39" i="47"/>
  <c r="F38" i="47"/>
  <c r="V39" i="47"/>
  <c r="Q39" i="47"/>
  <c r="M39" i="47"/>
  <c r="I39" i="47"/>
  <c r="U38" i="47"/>
  <c r="P38" i="47"/>
  <c r="S43" i="36" s="1"/>
  <c r="L38" i="47"/>
  <c r="H38" i="47"/>
  <c r="X42" i="36"/>
  <c r="U39" i="47"/>
  <c r="P39" i="47"/>
  <c r="S44" i="36" s="1"/>
  <c r="L39" i="47"/>
  <c r="H39" i="47"/>
  <c r="T38" i="47"/>
  <c r="X43" i="36" s="1"/>
  <c r="O38" i="47"/>
  <c r="K38" i="47"/>
  <c r="G38" i="47"/>
  <c r="V42" i="36"/>
  <c r="S39" i="47"/>
  <c r="W44" i="36" s="1"/>
  <c r="S38" i="47"/>
  <c r="W43" i="36" s="1"/>
  <c r="W42" i="36"/>
  <c r="N7" i="46"/>
  <c r="J7" i="46"/>
  <c r="G9" i="46"/>
  <c r="W9" i="46"/>
  <c r="H7" i="46"/>
  <c r="L7" i="46"/>
  <c r="P7" i="46"/>
  <c r="T7" i="46"/>
  <c r="X7" i="46"/>
  <c r="M9" i="46"/>
  <c r="H9" i="46"/>
  <c r="L9" i="46"/>
  <c r="P9" i="46"/>
  <c r="T9" i="46"/>
  <c r="X9" i="46"/>
  <c r="I7" i="46"/>
  <c r="M7" i="46"/>
  <c r="Q7" i="46"/>
  <c r="F9" i="46"/>
  <c r="J9" i="46"/>
  <c r="N9" i="46"/>
  <c r="R9" i="46"/>
  <c r="AA33" i="51" l="1"/>
  <c r="Z33" i="51"/>
  <c r="Q33" i="51"/>
  <c r="W33" i="51"/>
  <c r="T33" i="51"/>
  <c r="Y33" i="51"/>
  <c r="X33" i="51"/>
  <c r="V33" i="51"/>
  <c r="U33" i="51"/>
  <c r="P33" i="51"/>
  <c r="R33" i="51"/>
  <c r="S33" i="51"/>
  <c r="V18" i="51"/>
  <c r="W18" i="51"/>
  <c r="Q18" i="51"/>
  <c r="R18" i="51"/>
  <c r="P18" i="51"/>
  <c r="S18" i="51"/>
  <c r="T18" i="51"/>
  <c r="W9" i="51"/>
  <c r="Z9" i="51"/>
  <c r="Q9" i="51"/>
  <c r="AA9" i="51"/>
  <c r="V9" i="51"/>
  <c r="X9" i="51"/>
  <c r="U9" i="51"/>
  <c r="T9" i="51"/>
  <c r="R9" i="51"/>
  <c r="Y9" i="51"/>
  <c r="S9" i="51"/>
  <c r="X11" i="51"/>
  <c r="V11" i="51"/>
  <c r="AA11" i="51"/>
  <c r="Y11" i="51"/>
  <c r="U11" i="51"/>
  <c r="P11" i="51"/>
  <c r="W11" i="51"/>
  <c r="S11" i="51"/>
  <c r="T11" i="51"/>
  <c r="Z11" i="51"/>
  <c r="Q11" i="51"/>
  <c r="R11" i="51"/>
  <c r="P12" i="51"/>
  <c r="R12" i="51"/>
  <c r="AA12" i="51"/>
  <c r="Q12" i="51"/>
  <c r="S12" i="51"/>
  <c r="T12" i="51"/>
  <c r="U12" i="51"/>
  <c r="V12" i="51"/>
  <c r="W12" i="51"/>
  <c r="X12" i="51"/>
  <c r="Y12" i="51"/>
  <c r="Z12" i="51"/>
  <c r="Q10" i="51"/>
  <c r="W10" i="51"/>
  <c r="R10" i="51"/>
  <c r="T10" i="51"/>
  <c r="X10" i="51"/>
  <c r="S10" i="51"/>
  <c r="P10" i="51"/>
  <c r="AA10" i="51"/>
  <c r="Z10" i="51"/>
  <c r="U10" i="51"/>
  <c r="Y10" i="51"/>
  <c r="V10" i="51"/>
  <c r="I8" i="51"/>
  <c r="V8" i="51" s="1"/>
  <c r="Q4" i="51"/>
  <c r="R4" i="51"/>
  <c r="T4" i="51"/>
  <c r="S4" i="51"/>
  <c r="V4" i="51"/>
  <c r="W4" i="51"/>
  <c r="P4" i="51"/>
  <c r="U4" i="51"/>
  <c r="Q7" i="51"/>
  <c r="V7" i="51"/>
  <c r="S7" i="51"/>
  <c r="R7" i="51"/>
  <c r="T7" i="51"/>
  <c r="W7" i="51"/>
  <c r="P7" i="51"/>
  <c r="U7" i="51"/>
  <c r="Q2" i="51"/>
  <c r="V2" i="51"/>
  <c r="T2" i="51"/>
  <c r="U2" i="51"/>
  <c r="R2" i="51"/>
  <c r="W2" i="51"/>
  <c r="S2" i="51"/>
  <c r="Q8" i="51"/>
  <c r="U8" i="51"/>
  <c r="S8" i="51"/>
  <c r="T8" i="51"/>
  <c r="W8" i="51"/>
  <c r="R8" i="51"/>
  <c r="P8" i="51"/>
  <c r="T6" i="51"/>
  <c r="U6" i="51"/>
  <c r="P6" i="51"/>
  <c r="S6" i="51"/>
  <c r="V6" i="51"/>
  <c r="R6" i="51"/>
  <c r="Q6" i="51"/>
  <c r="W6" i="51"/>
  <c r="R5" i="51"/>
  <c r="V5" i="51"/>
  <c r="S5" i="51"/>
  <c r="P5" i="51"/>
  <c r="T5" i="51"/>
  <c r="W5" i="51"/>
  <c r="U5" i="51"/>
  <c r="Q5" i="51"/>
  <c r="AC19" i="36"/>
  <c r="AB11" i="36"/>
  <c r="AC11" i="36"/>
  <c r="AD11" i="36"/>
  <c r="AB23" i="36"/>
  <c r="AC15" i="36"/>
  <c r="AD15" i="36"/>
  <c r="AC27" i="36"/>
  <c r="AD27" i="36"/>
  <c r="AD7" i="36"/>
  <c r="AC25" i="36"/>
  <c r="AC9" i="36"/>
  <c r="AA25" i="44"/>
  <c r="AB9" i="36"/>
  <c r="AC17" i="36"/>
  <c r="AD17" i="36"/>
  <c r="AB17" i="36"/>
  <c r="AB21" i="36"/>
  <c r="AC21" i="36"/>
  <c r="X12" i="47"/>
  <c r="AA23" i="44" s="1"/>
  <c r="AC5" i="36"/>
  <c r="AC13" i="36"/>
  <c r="AD13" i="36"/>
  <c r="AA27" i="44"/>
  <c r="H14" i="51"/>
  <c r="H13" i="51"/>
  <c r="AD25" i="36"/>
  <c r="AD21" i="36"/>
  <c r="AD9" i="36"/>
  <c r="AD23" i="36"/>
  <c r="AC23" i="36"/>
  <c r="AD19" i="36"/>
  <c r="AB19" i="36"/>
  <c r="AA28" i="44"/>
  <c r="AA26" i="44"/>
  <c r="X13" i="47"/>
  <c r="AA24" i="44" s="1"/>
  <c r="AC7" i="36"/>
  <c r="AD5" i="36"/>
  <c r="X8" i="47"/>
  <c r="AA9" i="44" s="1"/>
  <c r="AQ30" i="48"/>
  <c r="AR22" i="48"/>
  <c r="AP23" i="48"/>
  <c r="AP31" i="48"/>
  <c r="AP12" i="48"/>
  <c r="AP20" i="48"/>
  <c r="AP13" i="48"/>
  <c r="AP21" i="48"/>
  <c r="AP22" i="48"/>
  <c r="AP30" i="48"/>
  <c r="AR23" i="48"/>
  <c r="AR31" i="48"/>
  <c r="AR12" i="48"/>
  <c r="AR20" i="48"/>
  <c r="AR13" i="48"/>
  <c r="AR21" i="48"/>
  <c r="AR30" i="48"/>
  <c r="AQ31" i="48"/>
  <c r="AQ12" i="48"/>
  <c r="AQ20" i="48"/>
  <c r="AQ13" i="48"/>
  <c r="AQ2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B9" i="44" l="1"/>
  <c r="AC9" i="44" s="1"/>
  <c r="AD9" i="44" s="1"/>
  <c r="AB26" i="44"/>
  <c r="AC26" i="44" s="1"/>
  <c r="AD26" i="44" s="1"/>
  <c r="AB28" i="44"/>
  <c r="AC28" i="44" s="1"/>
  <c r="AD28" i="44" s="1"/>
  <c r="AA40" i="44"/>
  <c r="AA41" i="44" s="1"/>
  <c r="AA10" i="44"/>
  <c r="X9" i="47" s="1"/>
  <c r="AA15" i="44"/>
  <c r="AA53" i="44" s="1"/>
  <c r="AA18" i="44"/>
  <c r="AB24" i="44"/>
  <c r="AC24" i="44" s="1"/>
  <c r="AD24" i="44" s="1"/>
  <c r="AA14" i="44"/>
  <c r="AB27" i="44"/>
  <c r="AB25" i="44"/>
  <c r="AB23" i="44"/>
  <c r="I14" i="51"/>
  <c r="I13"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A11" i="44" l="1"/>
  <c r="AB10" i="44"/>
  <c r="Y9" i="47" s="1"/>
  <c r="AB40" i="44"/>
  <c r="AB41" i="44" s="1"/>
  <c r="AB14" i="44"/>
  <c r="AB15" i="44"/>
  <c r="AB53" i="44" s="1"/>
  <c r="AA52" i="44"/>
  <c r="AA54" i="44"/>
  <c r="AB18" i="44"/>
  <c r="AB54" i="44" s="1"/>
  <c r="AC23" i="44"/>
  <c r="AC25" i="44"/>
  <c r="AC27" i="44"/>
  <c r="AX10" i="49"/>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A10" i="49" l="1"/>
  <c r="AA45" i="44"/>
  <c r="AX9" i="49"/>
  <c r="AA9" i="49" s="1"/>
  <c r="AC10" i="44"/>
  <c r="Z9" i="47" s="1"/>
  <c r="AC40" i="44"/>
  <c r="AC41" i="44" s="1"/>
  <c r="AA46" i="44"/>
  <c r="AA44" i="44"/>
  <c r="AA51" i="44"/>
  <c r="AC18" i="44"/>
  <c r="AC54" i="44" s="1"/>
  <c r="AA47" i="44"/>
  <c r="AB11" i="44"/>
  <c r="AC15" i="44"/>
  <c r="AC14" i="44"/>
  <c r="AC52" i="44" s="1"/>
  <c r="AB52" i="44"/>
  <c r="AD25" i="44"/>
  <c r="AD27" i="44"/>
  <c r="AD23" i="44"/>
  <c r="D42" i="52"/>
  <c r="D41" i="52"/>
  <c r="K23" i="51"/>
  <c r="K21" i="51"/>
  <c r="K22" i="51"/>
  <c r="D40" i="52"/>
  <c r="AX12" i="49"/>
  <c r="AA12" i="49" s="1"/>
  <c r="AY10" i="49"/>
  <c r="AB10"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AB45" i="44" l="1"/>
  <c r="Y11" i="47"/>
  <c r="Y32" i="47"/>
  <c r="Y33" i="47"/>
  <c r="X37" i="47"/>
  <c r="X36" i="47"/>
  <c r="AA26" i="49"/>
  <c r="AA25" i="49"/>
  <c r="X33" i="47"/>
  <c r="AA21" i="49"/>
  <c r="AB21" i="49" s="1"/>
  <c r="AA22" i="49"/>
  <c r="X32" i="47"/>
  <c r="AB46" i="44"/>
  <c r="AD10" i="44"/>
  <c r="AA9" i="47" s="1"/>
  <c r="AD40" i="44"/>
  <c r="AD41" i="44" s="1"/>
  <c r="AC53" i="44"/>
  <c r="AB47" i="44"/>
  <c r="AD15" i="44"/>
  <c r="AD53" i="44" s="1"/>
  <c r="AB44" i="44"/>
  <c r="AB51" i="44"/>
  <c r="AD14" i="44"/>
  <c r="AD52" i="44" s="1"/>
  <c r="AD18" i="44"/>
  <c r="AA12" i="44"/>
  <c r="AA42" i="44" s="1"/>
  <c r="I16" i="52"/>
  <c r="B9" i="56" s="1"/>
  <c r="L23" i="51"/>
  <c r="AX11" i="49"/>
  <c r="AA11" i="49" s="1"/>
  <c r="L21" i="51"/>
  <c r="AY12" i="49"/>
  <c r="AB12" i="49" s="1"/>
  <c r="AZ10" i="49"/>
  <c r="AC10" i="49" s="1"/>
  <c r="L22" i="51"/>
  <c r="AN6" i="36"/>
  <c r="AH6" i="36"/>
  <c r="K19" i="50"/>
  <c r="AG6" i="36" s="1"/>
  <c r="I19" i="50"/>
  <c r="M19" i="50"/>
  <c r="AI6" i="36" s="1"/>
  <c r="Q19" i="50"/>
  <c r="Q8" i="47"/>
  <c r="J8" i="47"/>
  <c r="AP7" i="36"/>
  <c r="AO7" i="36"/>
  <c r="G8" i="47"/>
  <c r="K8" i="47"/>
  <c r="M8" i="47"/>
  <c r="N8" i="47"/>
  <c r="H8" i="47"/>
  <c r="L8" i="47"/>
  <c r="P8" i="47"/>
  <c r="I8" i="47"/>
  <c r="O8" i="47"/>
  <c r="X34" i="47" l="1"/>
  <c r="X35" i="47"/>
  <c r="AA23" i="49"/>
  <c r="K4" i="51" s="1"/>
  <c r="X4" i="51" s="1"/>
  <c r="I11" i="52" s="1"/>
  <c r="B4" i="56" s="1"/>
  <c r="AA24" i="49"/>
  <c r="K5" i="51" s="1"/>
  <c r="X5" i="51" s="1"/>
  <c r="I12" i="52" s="1"/>
  <c r="B5" i="56" s="1"/>
  <c r="AX22" i="49"/>
  <c r="AB22" i="49"/>
  <c r="AC22" i="49" s="1"/>
  <c r="AC21" i="49"/>
  <c r="AB25" i="49"/>
  <c r="Y36" i="47"/>
  <c r="Y37" i="47"/>
  <c r="AB26" i="49"/>
  <c r="AX26" i="49"/>
  <c r="Z33" i="47"/>
  <c r="Z32" i="47"/>
  <c r="K3" i="51"/>
  <c r="AD54" i="44"/>
  <c r="N23" i="51" s="1"/>
  <c r="AC11" i="44"/>
  <c r="AB12" i="44"/>
  <c r="I18" i="52"/>
  <c r="B11" i="56" s="1"/>
  <c r="I19" i="52"/>
  <c r="B12" i="56" s="1"/>
  <c r="I17" i="52"/>
  <c r="B10" i="56" s="1"/>
  <c r="K16" i="51"/>
  <c r="K19" i="51"/>
  <c r="K20" i="51"/>
  <c r="K15" i="51"/>
  <c r="X15" i="51" s="1"/>
  <c r="D13" i="52" s="1"/>
  <c r="B2" i="55" s="1"/>
  <c r="K17" i="51"/>
  <c r="K18" i="51"/>
  <c r="X18" i="51" s="1"/>
  <c r="AY11" i="49"/>
  <c r="AB11" i="49" s="1"/>
  <c r="M23" i="51"/>
  <c r="AZ11" i="49"/>
  <c r="X11" i="47"/>
  <c r="M21" i="51"/>
  <c r="BA12" i="49"/>
  <c r="M22" i="51"/>
  <c r="C25" i="51"/>
  <c r="C26" i="51" s="1"/>
  <c r="AM6" i="36"/>
  <c r="D16" i="52" l="1"/>
  <c r="B5" i="55" s="1"/>
  <c r="AB42" i="44"/>
  <c r="Y10" i="47"/>
  <c r="AC12" i="44"/>
  <c r="Z11" i="47"/>
  <c r="AA27" i="49"/>
  <c r="AY22" i="49"/>
  <c r="Y35" i="47"/>
  <c r="Y34" i="47"/>
  <c r="AZ22" i="49"/>
  <c r="AB24" i="49"/>
  <c r="AX24" i="49"/>
  <c r="AA29" i="49"/>
  <c r="AB23" i="49"/>
  <c r="AY26" i="49"/>
  <c r="AA28" i="49"/>
  <c r="AB38" i="49"/>
  <c r="K6" i="51"/>
  <c r="X6" i="51" s="1"/>
  <c r="I13" i="52" s="1"/>
  <c r="B6" i="56" s="1"/>
  <c r="AC44" i="44"/>
  <c r="AC51" i="44"/>
  <c r="AC46" i="44"/>
  <c r="AC47" i="44"/>
  <c r="AC45" i="44"/>
  <c r="P31" i="37"/>
  <c r="P29" i="37"/>
  <c r="P30" i="37"/>
  <c r="AD11" i="44"/>
  <c r="AA11" i="47" s="1"/>
  <c r="L16" i="51"/>
  <c r="L18" i="51"/>
  <c r="Y18" i="51" s="1"/>
  <c r="L19" i="51"/>
  <c r="L15" i="51"/>
  <c r="L20" i="51"/>
  <c r="L17" i="51"/>
  <c r="BA10" i="49"/>
  <c r="AD10" i="49" s="1"/>
  <c r="AD21" i="49" s="1"/>
  <c r="P41" i="37"/>
  <c r="X10" i="47"/>
  <c r="AY9" i="49"/>
  <c r="AC11" i="49"/>
  <c r="AZ12" i="49"/>
  <c r="AC12" i="49" s="1"/>
  <c r="AC26" i="49" s="1"/>
  <c r="N22" i="51"/>
  <c r="D25" i="51"/>
  <c r="M13" i="51"/>
  <c r="AC42" i="44" l="1"/>
  <c r="Z10" i="47"/>
  <c r="AC23" i="49"/>
  <c r="AY24" i="49"/>
  <c r="AC24" i="49"/>
  <c r="M5" i="51" s="1"/>
  <c r="Z5" i="51" s="1"/>
  <c r="AB37" i="49"/>
  <c r="Z37" i="47"/>
  <c r="Z36" i="47"/>
  <c r="AD22" i="49"/>
  <c r="BA22" i="49" s="1"/>
  <c r="Z34" i="47"/>
  <c r="Z35" i="47"/>
  <c r="L5" i="51"/>
  <c r="Y5" i="51" s="1"/>
  <c r="AC25" i="49"/>
  <c r="AZ26" i="49" s="1"/>
  <c r="AA33" i="47"/>
  <c r="AA32" i="47"/>
  <c r="AB29" i="49"/>
  <c r="AB36" i="49"/>
  <c r="L4" i="51"/>
  <c r="Y4" i="51" s="1"/>
  <c r="L6" i="51"/>
  <c r="Y6" i="51" s="1"/>
  <c r="AB39" i="49"/>
  <c r="K7" i="51"/>
  <c r="X7" i="51" s="1"/>
  <c r="I14" i="52" s="1"/>
  <c r="B7" i="56" s="1"/>
  <c r="AD44" i="44"/>
  <c r="AD12" i="44"/>
  <c r="AD51" i="44"/>
  <c r="AD47" i="44"/>
  <c r="AD45" i="44"/>
  <c r="AD46" i="44"/>
  <c r="E25" i="51"/>
  <c r="D26" i="51"/>
  <c r="M16" i="51"/>
  <c r="M20" i="51"/>
  <c r="M17" i="51"/>
  <c r="M18" i="51"/>
  <c r="Z18" i="51" s="1"/>
  <c r="M19" i="51"/>
  <c r="M15" i="51"/>
  <c r="P43" i="37"/>
  <c r="P42" i="37"/>
  <c r="P44" i="37"/>
  <c r="AD12" i="49"/>
  <c r="BA11" i="49"/>
  <c r="AD11" i="49" s="1"/>
  <c r="N13" i="51"/>
  <c r="AC62" i="44"/>
  <c r="E11" i="37"/>
  <c r="AD42" i="44" l="1"/>
  <c r="AA10" i="47"/>
  <c r="AA36" i="47"/>
  <c r="AA37" i="47"/>
  <c r="AA34" i="47"/>
  <c r="AA35" i="47"/>
  <c r="AD24" i="49"/>
  <c r="AZ24" i="49"/>
  <c r="AD23" i="49"/>
  <c r="AD25" i="49"/>
  <c r="AD26" i="49"/>
  <c r="AC37" i="49"/>
  <c r="M4" i="51"/>
  <c r="Z4" i="51" s="1"/>
  <c r="AC36" i="49"/>
  <c r="AC29" i="49"/>
  <c r="L7" i="51"/>
  <c r="Y7" i="51" s="1"/>
  <c r="AC38" i="49"/>
  <c r="M6" i="51"/>
  <c r="Z6" i="51" s="1"/>
  <c r="P45" i="37"/>
  <c r="F25" i="51"/>
  <c r="E26" i="51"/>
  <c r="N19" i="51"/>
  <c r="N18" i="51"/>
  <c r="N17" i="51"/>
  <c r="N16" i="51"/>
  <c r="N15" i="51"/>
  <c r="P13" i="37" s="1"/>
  <c r="P22" i="37"/>
  <c r="N20" i="51"/>
  <c r="K13" i="51"/>
  <c r="AC63" i="44"/>
  <c r="BA24" i="49" l="1"/>
  <c r="BA26" i="49"/>
  <c r="AD36" i="49"/>
  <c r="AD29" i="49"/>
  <c r="N5" i="51"/>
  <c r="AD37" i="49"/>
  <c r="N4" i="51"/>
  <c r="N6" i="51"/>
  <c r="AA6" i="51" s="1"/>
  <c r="AD38" i="49"/>
  <c r="M7" i="51"/>
  <c r="Z7" i="51" s="1"/>
  <c r="AC39" i="49"/>
  <c r="P20" i="37"/>
  <c r="AA18" i="51"/>
  <c r="P21" i="37"/>
  <c r="G25" i="51"/>
  <c r="F26" i="51"/>
  <c r="W15" i="51"/>
  <c r="V15" i="51"/>
  <c r="U15" i="51"/>
  <c r="T15" i="51"/>
  <c r="S15" i="51"/>
  <c r="R15" i="51"/>
  <c r="Q15" i="51"/>
  <c r="AA15" i="51"/>
  <c r="Z15" i="51"/>
  <c r="Y15" i="51"/>
  <c r="P15" i="51"/>
  <c r="L13" i="51"/>
  <c r="AD62" i="44"/>
  <c r="N21" i="51"/>
  <c r="P26" i="37" s="1"/>
  <c r="AZ9" i="49"/>
  <c r="BA9" i="49"/>
  <c r="AD63" i="44"/>
  <c r="P16" i="37" l="1"/>
  <c r="P7" i="37"/>
  <c r="P4" i="37"/>
  <c r="P19" i="37"/>
  <c r="P38" i="37"/>
  <c r="P36" i="37"/>
  <c r="AA4" i="51"/>
  <c r="P37" i="37"/>
  <c r="AA5" i="51"/>
  <c r="N7" i="51"/>
  <c r="AD39" i="49"/>
  <c r="H25" i="51"/>
  <c r="G26" i="51"/>
  <c r="Y13" i="51"/>
  <c r="Q13" i="51"/>
  <c r="AD9" i="49"/>
  <c r="S13" i="51"/>
  <c r="W13" i="51"/>
  <c r="U13" i="51"/>
  <c r="Z13" i="51"/>
  <c r="R13" i="51"/>
  <c r="T13" i="51"/>
  <c r="P13" i="51"/>
  <c r="V13" i="51"/>
  <c r="AA13" i="51"/>
  <c r="X13" i="51"/>
  <c r="I20" i="52" s="1"/>
  <c r="B13" i="56" s="1"/>
  <c r="AA7" i="51" l="1"/>
  <c r="P39" i="37"/>
  <c r="I25" i="51"/>
  <c r="H26" i="51"/>
  <c r="N14" i="51"/>
  <c r="M14" i="51"/>
  <c r="E14" i="37"/>
  <c r="E13" i="37"/>
  <c r="E12" i="37"/>
  <c r="E10" i="37"/>
  <c r="E9" i="37"/>
  <c r="J25" i="51" l="1"/>
  <c r="I26" i="51"/>
  <c r="B17" i="37"/>
  <c r="B21" i="37" s="1"/>
  <c r="AC19" i="51" l="1"/>
  <c r="W19" i="51" s="1"/>
  <c r="AC16" i="51"/>
  <c r="AC22" i="51"/>
  <c r="W22" i="51" s="1"/>
  <c r="J26" i="51"/>
  <c r="K25" i="51"/>
  <c r="AC25" i="51"/>
  <c r="AA19" i="51" l="1"/>
  <c r="P8" i="37" s="1"/>
  <c r="Z19" i="51"/>
  <c r="X19" i="51"/>
  <c r="D17" i="52" s="1"/>
  <c r="B6" i="55" s="1"/>
  <c r="T19" i="51"/>
  <c r="S19" i="51"/>
  <c r="Y19" i="51"/>
  <c r="P19" i="51"/>
  <c r="V19" i="51"/>
  <c r="R19" i="51"/>
  <c r="X22" i="51"/>
  <c r="D9" i="52" s="1"/>
  <c r="V22" i="51"/>
  <c r="U22" i="51"/>
  <c r="AA22" i="51"/>
  <c r="Y22" i="51"/>
  <c r="T22" i="51"/>
  <c r="R22" i="51"/>
  <c r="S22" i="51"/>
  <c r="Q22" i="51"/>
  <c r="U19" i="51"/>
  <c r="P22" i="51"/>
  <c r="Q19" i="51"/>
  <c r="AC20" i="51"/>
  <c r="T20" i="51" s="1"/>
  <c r="AC17" i="51"/>
  <c r="V16" i="51"/>
  <c r="W16" i="51"/>
  <c r="Q16" i="51"/>
  <c r="U16" i="51"/>
  <c r="P16" i="51"/>
  <c r="R16" i="51"/>
  <c r="S16" i="51"/>
  <c r="T16" i="51"/>
  <c r="X16" i="51"/>
  <c r="D14" i="52" s="1"/>
  <c r="B3" i="55" s="1"/>
  <c r="Y16" i="51"/>
  <c r="Z16" i="51"/>
  <c r="AA16" i="51"/>
  <c r="P5" i="37" s="1"/>
  <c r="Z22" i="51"/>
  <c r="AC23" i="51"/>
  <c r="W23" i="51" s="1"/>
  <c r="D29" i="52"/>
  <c r="B11" i="58" s="1"/>
  <c r="AC26" i="51"/>
  <c r="P25" i="51"/>
  <c r="S25" i="51"/>
  <c r="U25" i="51"/>
  <c r="W25" i="51"/>
  <c r="Q25" i="51"/>
  <c r="T25" i="51"/>
  <c r="V25" i="51"/>
  <c r="R25" i="51"/>
  <c r="L25" i="51"/>
  <c r="K26" i="51"/>
  <c r="X25" i="51"/>
  <c r="D38" i="52" s="1"/>
  <c r="U20" i="51" l="1"/>
  <c r="P20" i="51"/>
  <c r="V20" i="51"/>
  <c r="AA20" i="51"/>
  <c r="P9" i="37" s="1"/>
  <c r="Z20" i="51"/>
  <c r="S20" i="51"/>
  <c r="X20" i="51"/>
  <c r="D18" i="52" s="1"/>
  <c r="B7" i="55" s="1"/>
  <c r="W20" i="51"/>
  <c r="R20" i="51"/>
  <c r="Y20" i="51"/>
  <c r="Q20" i="51"/>
  <c r="R23" i="51"/>
  <c r="V23" i="51"/>
  <c r="U23" i="51"/>
  <c r="S23" i="51"/>
  <c r="Z23" i="51"/>
  <c r="V17" i="51"/>
  <c r="P17" i="51"/>
  <c r="S17" i="51"/>
  <c r="T17" i="51"/>
  <c r="R17" i="51"/>
  <c r="U17" i="51"/>
  <c r="W17" i="51"/>
  <c r="Q17" i="51"/>
  <c r="X17" i="51"/>
  <c r="Y17" i="51"/>
  <c r="Z17" i="51"/>
  <c r="AA17" i="51"/>
  <c r="Y23" i="51"/>
  <c r="X23" i="51"/>
  <c r="D27" i="52" s="1"/>
  <c r="B9" i="58" s="1"/>
  <c r="AA23" i="51"/>
  <c r="P23" i="51"/>
  <c r="T23" i="51"/>
  <c r="Q23" i="51"/>
  <c r="D26" i="52"/>
  <c r="B8" i="58" s="1"/>
  <c r="D32" i="52"/>
  <c r="B14" i="58" s="1"/>
  <c r="D23" i="52"/>
  <c r="B5" i="58" s="1"/>
  <c r="D39" i="52"/>
  <c r="D30" i="52"/>
  <c r="B12" i="58" s="1"/>
  <c r="X26" i="51"/>
  <c r="P26" i="51"/>
  <c r="Q26" i="51"/>
  <c r="R26" i="51"/>
  <c r="S26" i="51"/>
  <c r="T26" i="51"/>
  <c r="U26" i="51"/>
  <c r="V26" i="51"/>
  <c r="W26" i="51"/>
  <c r="I25" i="52"/>
  <c r="I26" i="52"/>
  <c r="M25" i="51"/>
  <c r="L26" i="51"/>
  <c r="Y26" i="51" s="1"/>
  <c r="Y25" i="51"/>
  <c r="AA56" i="36"/>
  <c r="AA55" i="36"/>
  <c r="AA46" i="36"/>
  <c r="AA45" i="36"/>
  <c r="AC71" i="44"/>
  <c r="AC70" i="44"/>
  <c r="AC72" i="44"/>
  <c r="D33" i="52" l="1"/>
  <c r="B15" i="58" s="1"/>
  <c r="D24" i="52"/>
  <c r="B6" i="58" s="1"/>
  <c r="N25" i="51"/>
  <c r="M26" i="51"/>
  <c r="Z26" i="51" s="1"/>
  <c r="Z25" i="51"/>
  <c r="AC46" i="36"/>
  <c r="AD49" i="36"/>
  <c r="AD50" i="36"/>
  <c r="AC56" i="36"/>
  <c r="AC65" i="44"/>
  <c r="AC66" i="44"/>
  <c r="AD71" i="44"/>
  <c r="AC68" i="44"/>
  <c r="AC69" i="44"/>
  <c r="AC64" i="44"/>
  <c r="AC67" i="44"/>
  <c r="AD70" i="44"/>
  <c r="AD72" i="44"/>
  <c r="P17" i="37" l="1"/>
  <c r="P14" i="37"/>
  <c r="P27" i="37"/>
  <c r="P23" i="37"/>
  <c r="N26" i="51"/>
  <c r="P15" i="37" s="1"/>
  <c r="AA25" i="51"/>
  <c r="P49" i="37" s="1"/>
  <c r="K14" i="51"/>
  <c r="AC45" i="36"/>
  <c r="AC55" i="36"/>
  <c r="AD56" i="36"/>
  <c r="AD55" i="36"/>
  <c r="AD45" i="36"/>
  <c r="AD46" i="36"/>
  <c r="AA50" i="36"/>
  <c r="AA49" i="36"/>
  <c r="AD65" i="44"/>
  <c r="AD66" i="44"/>
  <c r="B2" i="58"/>
  <c r="AC49" i="36"/>
  <c r="AC50" i="36"/>
  <c r="AD69" i="44"/>
  <c r="AD67" i="44"/>
  <c r="AD68" i="44"/>
  <c r="P24" i="37" l="1"/>
  <c r="P18" i="37"/>
  <c r="AA26" i="51"/>
  <c r="P28" i="37"/>
  <c r="Q21" i="51"/>
  <c r="W21" i="51"/>
  <c r="R21" i="51"/>
  <c r="S21" i="51"/>
  <c r="T21" i="51"/>
  <c r="U21" i="51"/>
  <c r="V21" i="51"/>
  <c r="Y21" i="51"/>
  <c r="Z21" i="51"/>
  <c r="AA21" i="51"/>
  <c r="P10" i="37" s="1"/>
  <c r="B4" i="53"/>
  <c r="B3" i="53"/>
  <c r="B2" i="54"/>
  <c r="P14" i="51"/>
  <c r="P21" i="51"/>
  <c r="AB9" i="49"/>
  <c r="AC9" i="49"/>
  <c r="AD64" i="44"/>
  <c r="D19" i="52" l="1"/>
  <c r="B8" i="55" s="1"/>
  <c r="D28" i="52"/>
  <c r="B10" i="58" s="1"/>
  <c r="AB27" i="49"/>
  <c r="AB28" i="49"/>
  <c r="B3" i="59"/>
  <c r="Q14" i="51"/>
  <c r="W14" i="51"/>
  <c r="T14" i="51"/>
  <c r="U14" i="51"/>
  <c r="S14" i="51"/>
  <c r="R14" i="51"/>
  <c r="V14" i="51"/>
  <c r="AA14" i="51"/>
  <c r="P6" i="37" s="1"/>
  <c r="Z14" i="51"/>
  <c r="X14" i="51"/>
  <c r="L14" i="51"/>
  <c r="Y14" i="51" s="1"/>
  <c r="D10" i="52" l="1"/>
  <c r="D15" i="52"/>
  <c r="B4" i="55" s="1"/>
  <c r="AC28" i="49"/>
  <c r="AC27" i="49"/>
  <c r="B4" i="59"/>
  <c r="G7" i="46"/>
  <c r="F7" i="46"/>
  <c r="AD27" i="49" l="1"/>
  <c r="AD28" i="49"/>
  <c r="AA59" i="36"/>
  <c r="AA57" i="36"/>
  <c r="AA58" i="36"/>
  <c r="AO4" i="36" l="1"/>
  <c r="AG3" i="36"/>
  <c r="AP4" i="36"/>
  <c r="AN3" i="36" l="1"/>
  <c r="AK3" i="36"/>
  <c r="AL3" i="36"/>
  <c r="AJ3" i="36"/>
  <c r="AH3" i="36"/>
  <c r="AI3" i="36"/>
  <c r="AM3" i="36"/>
  <c r="R24" i="51" l="1"/>
  <c r="Z24" i="51"/>
  <c r="V24" i="51"/>
  <c r="T24" i="51"/>
  <c r="U24" i="51"/>
  <c r="P24" i="51"/>
  <c r="Y24" i="51"/>
  <c r="W24" i="51"/>
  <c r="X24" i="51"/>
  <c r="D22" i="52" s="1"/>
  <c r="B4" i="58" s="1"/>
  <c r="S24" i="51"/>
  <c r="Q24" i="51"/>
  <c r="AA24" i="51"/>
  <c r="P47" i="37" s="1"/>
  <c r="D31" i="52" l="1"/>
  <c r="B13" i="58" s="1"/>
  <c r="D25" i="52"/>
  <c r="B7" i="58" s="1"/>
  <c r="I24" i="52"/>
  <c r="B2" i="53" s="1"/>
  <c r="D37" i="52"/>
  <c r="B2" i="59" s="1"/>
  <c r="AB58" i="36"/>
  <c r="AB57" i="36"/>
  <c r="AB59" i="36"/>
  <c r="AB50" i="36"/>
  <c r="AB46" i="36"/>
  <c r="AB56" i="36"/>
  <c r="AB49" i="36"/>
  <c r="AB55" i="36"/>
  <c r="P3" i="51" l="1"/>
  <c r="T3" i="51"/>
  <c r="U3" i="51"/>
  <c r="Q3" i="51"/>
  <c r="V3" i="51"/>
  <c r="X3" i="51"/>
  <c r="R3" i="51"/>
  <c r="W3" i="51"/>
  <c r="S3" i="51"/>
  <c r="AC58" i="36"/>
  <c r="AC59" i="36"/>
  <c r="AC57" i="36"/>
  <c r="B3" i="58"/>
  <c r="I10" i="52" l="1"/>
  <c r="B3" i="56" s="1"/>
  <c r="AD58" i="36"/>
  <c r="AD59" i="36"/>
  <c r="AD57" i="36"/>
  <c r="AB45" i="36" l="1"/>
  <c r="K8" i="51" l="1"/>
  <c r="X8" i="51" s="1"/>
  <c r="AB35" i="49"/>
  <c r="L3" i="51"/>
  <c r="Y3" i="51" s="1"/>
  <c r="K2" i="51"/>
  <c r="X2" i="51" s="1"/>
  <c r="I9" i="52" s="1"/>
  <c r="B2" i="56" s="1"/>
  <c r="I21" i="52" l="1"/>
  <c r="B14" i="56" s="1"/>
  <c r="I15" i="52"/>
  <c r="B8" i="56" s="1"/>
  <c r="AB40" i="49"/>
  <c r="AC34" i="49"/>
  <c r="L8" i="51"/>
  <c r="Y8" i="51" s="1"/>
  <c r="M3" i="51"/>
  <c r="Z3" i="51" s="1"/>
  <c r="AB42" i="49"/>
  <c r="AB34" i="49"/>
  <c r="AC35" i="49"/>
  <c r="L2" i="51"/>
  <c r="Y2" i="51" s="1"/>
  <c r="AG21" i="49"/>
  <c r="AL21" i="49" s="1"/>
  <c r="AB41" i="49"/>
  <c r="M2" i="51"/>
  <c r="Z2" i="51" s="1"/>
  <c r="AH21" i="49"/>
  <c r="AC42" i="49" l="1"/>
  <c r="AM21" i="49"/>
  <c r="AR21" i="49" s="1"/>
  <c r="N3" i="51"/>
  <c r="AD35" i="49"/>
  <c r="M8" i="51"/>
  <c r="Z8" i="51" s="1"/>
  <c r="AC40" i="49"/>
  <c r="AJ21" i="49"/>
  <c r="AI21" i="49"/>
  <c r="AN21" i="49" s="1"/>
  <c r="AS21" i="49" s="1"/>
  <c r="N2" i="51"/>
  <c r="AD34" i="49"/>
  <c r="AC41" i="49"/>
  <c r="AD41" i="49" l="1"/>
  <c r="AD42" i="49"/>
  <c r="N8" i="51"/>
  <c r="P35" i="37"/>
  <c r="AA3" i="51"/>
  <c r="P34" i="37"/>
  <c r="AA2" i="51"/>
  <c r="AP21" i="49"/>
  <c r="AO21" i="49"/>
  <c r="AT21" i="49" s="1"/>
  <c r="AD40" i="49"/>
  <c r="AA8" i="51" l="1"/>
  <c r="P40" i="37"/>
  <c r="AU21" i="49"/>
  <c r="AV21"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<sst xmlns="http://schemas.openxmlformats.org/spreadsheetml/2006/main" count="1091" uniqueCount="626">
  <si>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</si>
  <si>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</si>
  <si>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</si>
  <si>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</si>
  <si>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</si>
  <si>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</si>
  <si>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</si>
  <si>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</si>
  <si>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</si>
  <si>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</si>
  <si>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</si>
  <si>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</si>
  <si>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</si>
  <si>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</si>
  <si>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</si>
  <si>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</si>
  <si>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</si>
  <si>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</si>
  <si>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</si>
  <si>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</si>
  <si>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</si>
  <si>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</si>
  <si>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</si>
  <si>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</si>
  <si>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</si>
  <si>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</si>
  <si>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</si>
  <si>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</si>
  <si>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</si>
  <si>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</si>
  <si>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</si>
  <si>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</si>
  <si>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</si>
  <si>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</si>
  <si>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</si>
  <si>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</si>
  <si>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</si>
  <si>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</si>
  <si>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</si>
  <si>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</si>
  <si>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</si>
  <si>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</si>
  <si>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</si>
  <si>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</si>
  <si>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</si>
  <si>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</si>
  <si>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</si>
  <si>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</si>
  <si>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</si>
  <si>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</si>
  <si>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</si>
  <si>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</si>
  <si>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</si>
  <si>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</si>
  <si>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</si>
  <si>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</si>
  <si>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</si>
  <si>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</si>
  <si>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</si>
  <si>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</si>
  <si>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</si>
  <si>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</si>
  <si>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</si>
  <si>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</si>
  <si>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</si>
  <si>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</si>
  <si>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</si>
  <si>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</si>
  <si>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</si>
  <si>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</si>
  <si>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</si>
  <si>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</si>
  <si>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</si>
  <si>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</si>
  <si>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</si>
  <si>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</si>
  <si>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</si>
  <si>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</si>
  <si>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</si>
  <si>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</si>
  <si>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</si>
  <si>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</si>
  <si>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</si>
  <si>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</si>
  <si>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</si>
  <si>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</si>
  <si>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</si>
  <si>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</si>
  <si>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</si>
  <si>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</si>
  <si>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</si>
  <si>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</si>
  <si>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</si>
  <si>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</si>
  <si>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</si>
  <si>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</si>
  <si>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</si>
  <si>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</si>
  <si>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</si>
  <si>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</si>
  <si>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</si>
  <si>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</si>
  <si>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</si>
  <si>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</si>
  <si>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</si>
  <si>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</si>
  <si>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</si>
  <si>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</si>
  <si>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</si>
  <si>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</si>
  <si>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</si>
  <si>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</si>
  <si>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</si>
  <si>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</si>
  <si>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</si>
  <si>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</si>
  <si>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</si>
  <si>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</si>
  <si>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</si>
  <si>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</si>
  <si>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</si>
  <si>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</si>
  <si>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</si>
  <si>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</si>
  <si>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</si>
  <si>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</si>
  <si>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</si>
  <si>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</si>
  <si>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</si>
  <si>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</si>
  <si>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</si>
  <si>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</si>
  <si>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</si>
  <si>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</si>
  <si>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</si>
  <si>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</si>
  <si>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</si>
  <si>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</si>
  <si>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</si>
  <si>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</si>
  <si>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</si>
  <si>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</si>
  <si>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</si>
  <si>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</si>
  <si>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</si>
  <si>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</si>
  <si>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</si>
  <si>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</si>
  <si>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</si>
  <si>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</si>
  <si>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</si>
  <si>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</si>
  <si>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</si>
  <si>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</si>
  <si>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</si>
  <si>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</si>
  <si>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</si>
  <si>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</si>
  <si>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</si>
  <si>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</si>
  <si>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</si>
  <si>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</si>
  <si>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</si>
  <si>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</si>
  <si>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</si>
  <si>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</si>
  <si>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</si>
  <si>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</si>
  <si>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</si>
  <si>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</si>
  <si>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</si>
  <si>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</si>
  <si>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</si>
  <si>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</si>
  <si>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</si>
  <si>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</si>
  <si>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</si>
  <si>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</si>
  <si>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</si>
  <si>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</si>
  <si>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</si>
  <si>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</si>
  <si>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</si>
  <si>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</si>
  <si>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</si>
  <si>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</si>
  <si>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</si>
  <si>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</si>
  <si>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</si>
  <si>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</si>
  <si>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</si>
  <si>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</si>
  <si>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</si>
  <si>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</si>
  <si>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</si>
  <si>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</si>
  <si>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</si>
  <si>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</si>
  <si>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</si>
  <si>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</si>
  <si>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</si>
  <si>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</si>
  <si>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</si>
  <si>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</si>
  <si>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</si>
  <si>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</si>
  <si>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</si>
  <si>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</si>
  <si>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</si>
  <si>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</si>
  <si>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</si>
  <si>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</si>
  <si>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</si>
  <si>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</si>
  <si>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</si>
  <si>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</si>
  <si>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</si>
  <si>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</si>
  <si>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</si>
  <si>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</si>
  <si>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</si>
  <si>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</si>
  <si>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</si>
  <si>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</si>
  <si>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</si>
  <si>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</si>
  <si>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</si>
  <si>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</si>
  <si>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</si>
  <si>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</si>
  <si>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</si>
  <si>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</si>
  <si>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</si>
  <si>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</si>
  <si>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</si>
  <si>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</si>
  <si>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</si>
  <si>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</si>
  <si>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</si>
  <si>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</si>
  <si>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</si>
  <si>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</si>
  <si>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</si>
  <si>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</si>
  <si>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</si>
  <si>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</si>
  <si>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</si>
  <si>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</si>
  <si>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</si>
  <si>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</si>
  <si>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</si>
  <si>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</si>
  <si>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</si>
  <si>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</si>
  <si>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</si>
  <si>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</si>
  <si>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</si>
  <si>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</si>
  <si>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</si>
  <si>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</si>
  <si>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</si>
  <si>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</si>
  <si>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</si>
  <si>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</si>
  <si>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</si>
  <si>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</si>
  <si>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</si>
  <si>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</si>
  <si>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</si>
  <si>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</si>
  <si>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</si>
  <si>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</si>
  <si>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</si>
  <si>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</si>
  <si>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</si>
  <si>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</si>
  <si>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</si>
  <si>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</si>
  <si>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</si>
  <si>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</si>
  <si>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</si>
  <si>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</si>
  <si>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</si>
  <si>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</si>
  <si>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</si>
  <si>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</si>
  <si>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</si>
  <si>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</si>
  <si>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</si>
  <si>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</si>
  <si>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</si>
  <si>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</si>
  <si>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</si>
  <si>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</si>
  <si>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</si>
  <si>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</si>
  <si>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</si>
  <si>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</si>
  <si>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</si>
  <si>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</si>
  <si>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</si>
  <si>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</si>
  <si>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</si>
  <si>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</si>
  <si>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</si>
  <si>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</si>
  <si>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</si>
  <si>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</si>
  <si>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</si>
  <si>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</si>
  <si>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</si>
  <si>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</si>
  <si>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</si>
  <si>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</si>
  <si>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</si>
  <si>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</si>
  <si>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</si>
  <si>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</si>
  <si>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</si>
  <si>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</si>
  <si>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</si>
  <si>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</si>
  <si>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</si>
  <si>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</si>
  <si>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</si>
  <si>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</si>
  <si>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</si>
  <si>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</si>
  <si>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</si>
  <si>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</si>
  <si>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</si>
  <si>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</si>
  <si>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</si>
  <si>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</si>
  <si>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</si>
  <si>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</si>
  <si>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</si>
  <si>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</si>
  <si>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</si>
  <si>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</si>
  <si>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</si>
  <si>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</si>
  <si>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</si>
  <si>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</si>
  <si>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</si>
  <si>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</si>
  <si>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</si>
  <si>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</si>
  <si>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</si>
  <si>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</si>
  <si>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</si>
  <si>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</si>
  <si>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</si>
  <si>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</si>
  <si>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</si>
  <si>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</si>
  <si>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</si>
  <si>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</si>
  <si>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</si>
  <si>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</si>
  <si>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</si>
  <si>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</si>
  <si>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</si>
  <si>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</si>
  <si>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</si>
  <si>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</si>
  <si>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</si>
  <si>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</si>
  <si>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</si>
  <si>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</si>
  <si>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</si>
  <si>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</si>
  <si>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</si>
  <si>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</si>
  <si>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</si>
  <si>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</si>
  <si>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</si>
  <si>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</si>
  <si>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</si>
  <si>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</si>
  <si>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</si>
  <si>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</si>
  <si>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</si>
  <si>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</si>
  <si>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</si>
  <si>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</si>
  <si>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</si>
  <si>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</si>
  <si>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</si>
  <si>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</si>
  <si>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</si>
  <si>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</si>
  <si>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</si>
  <si>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</si>
  <si>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</si>
  <si>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</si>
  <si>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</si>
  <si>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</si>
  <si>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</si>
  <si>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</si>
  <si>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</si>
  <si>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</si>
  <si>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</si>
  <si>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</si>
  <si>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</si>
  <si>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(6) = (12) + (13)</t>
  </si>
  <si>
    <t>(15)</t>
  </si>
  <si>
    <t>(16)</t>
  </si>
  <si>
    <t>(17)</t>
  </si>
  <si>
    <t xml:space="preserve">(24) = (2) / (1) </t>
  </si>
  <si>
    <t xml:space="preserve">(25) = (3) / (1) </t>
  </si>
  <si>
    <t xml:space="preserve">(26) = (5) / (2) </t>
  </si>
  <si>
    <t xml:space="preserve">(27) = (4) / (1) </t>
  </si>
  <si>
    <t xml:space="preserve">(28) = (6) / (4) </t>
  </si>
  <si>
    <t xml:space="preserve">(29) = (7) / (4) </t>
  </si>
  <si>
    <t xml:space="preserve">(30) = (8) / (4) </t>
  </si>
  <si>
    <t xml:space="preserve">(34) = [(12) + (14) + (16) + (18) + (20) + (22)] / (4) </t>
  </si>
  <si>
    <t xml:space="preserve">(35) = (12) / (6) </t>
  </si>
  <si>
    <t>(36) = (14) / (7)</t>
  </si>
  <si>
    <t xml:space="preserve">(37) = (16) / (8)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</si>
  <si>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</si>
  <si>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</si>
  <si>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</si>
  <si>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</si>
  <si>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</si>
  <si>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</si>
  <si>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</si>
  <si>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</si>
  <si>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</si>
  <si>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</si>
  <si>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</si>
  <si>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</si>
  <si>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</si>
  <si>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</si>
  <si>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</si>
  <si>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</si>
  <si>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</si>
  <si>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</si>
  <si>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</si>
  <si>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</si>
  <si>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</si>
  <si>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</si>
  <si>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</si>
  <si>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</si>
  <si>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</si>
  <si>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</si>
  <si>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</si>
  <si>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</si>
  <si>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</si>
  <si>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</si>
  <si>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</si>
  <si>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</si>
  <si>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</si>
  <si>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</si>
  <si>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</si>
  <si>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</si>
  <si>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</si>
  <si>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</si>
  <si>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</si>
  <si>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</si>
  <si>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</si>
  <si>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</si>
  <si>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</si>
  <si>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</si>
  <si>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</si>
  <si>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</si>
  <si>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</si>
  <si>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</si>
  <si>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</si>
  <si>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</si>
  <si>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</si>
  <si>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</si>
  <si>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</si>
  <si>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</si>
  <si>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</si>
  <si>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</si>
  <si>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</si>
  <si>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</si>
  <si>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</si>
  <si>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</si>
  <si>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</si>
  <si>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</si>
  <si>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</si>
  <si>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</si>
  <si>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</si>
  <si>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</si>
  <si>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</si>
  <si>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</si>
  <si>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</si>
  <si>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</si>
  <si>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</si>
  <si>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</si>
  <si>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</si>
  <si>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pvpop_1564</t>
  </si>
  <si>
    <t>unpop_1564</t>
  </si>
  <si>
    <t xml:space="preserve">      Unemployment rate, change p.p.</t>
  </si>
  <si>
    <t>Regression: Control - log GDP and formality rates</t>
  </si>
  <si>
    <t>Scalar for Employment Elasticities</t>
  </si>
  <si>
    <t>(25) = (7) + (8)</t>
  </si>
  <si>
    <t>(26) = (9) + (10) + (11)</t>
  </si>
  <si>
    <t>Scalar for Income Elasticities</t>
  </si>
  <si>
    <t>Total Unskilled</t>
  </si>
  <si>
    <t>Total Skilled</t>
  </si>
  <si>
    <t>Labor Market Structure (%) - HIES</t>
  </si>
  <si>
    <t>Labor Income (%) - LFS</t>
  </si>
  <si>
    <t>Rest of services - formal (actual data)</t>
  </si>
  <si>
    <t>Rest of services - informal (actual data)</t>
  </si>
  <si>
    <t>GPD Supply Side</t>
  </si>
  <si>
    <t>Statistical discrepancy</t>
  </si>
  <si>
    <t>Population (15+ years old)</t>
  </si>
  <si>
    <t>hspop_15up</t>
  </si>
  <si>
    <t>hslstatus3_15up</t>
  </si>
  <si>
    <t>hslstatus1_15up</t>
  </si>
  <si>
    <t>hslstatus2_15up</t>
  </si>
  <si>
    <t>Load Elasticities based on LFS or HIES</t>
  </si>
  <si>
    <t>LFS</t>
  </si>
  <si>
    <t>HIES</t>
  </si>
  <si>
    <t>hsip_s0_a1</t>
  </si>
  <si>
    <t>hsip_s1_a1</t>
  </si>
  <si>
    <t>hsip_s0_a2</t>
  </si>
  <si>
    <t>hsip_s1_a2</t>
  </si>
  <si>
    <t>hsip_s0_a3</t>
  </si>
  <si>
    <t>hsip_s1_a3</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</si>
  <si>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</si>
  <si>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</si>
  <si>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</si>
  <si>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</si>
  <si>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</si>
  <si>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</si>
  <si>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</si>
  <si>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</si>
  <si>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</si>
  <si>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</si>
  <si>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</si>
  <si>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</si>
  <si>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</si>
  <si>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</si>
  <si>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</si>
  <si>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</si>
  <si>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</si>
  <si>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</si>
  <si>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</si>
  <si>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</si>
  <si>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gdp_a1</t>
  </si>
  <si>
    <t>gdp_a2</t>
  </si>
  <si>
    <t>gdp_a3</t>
  </si>
  <si>
    <t>gdp_a4</t>
  </si>
  <si>
    <t>gdp_a5</t>
  </si>
  <si>
    <t>gdp_a6</t>
  </si>
  <si>
    <t>sh_s0_a1</t>
  </si>
  <si>
    <t>sh_s1_a1</t>
  </si>
  <si>
    <t>sh_s0_a2</t>
  </si>
  <si>
    <t>sh_s1_a2</t>
  </si>
  <si>
    <t>sh_s0_a3</t>
  </si>
  <si>
    <t>sh_s1_a3</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</si>
  <si>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</si>
  <si>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</si>
  <si>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</si>
  <si>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</si>
  <si>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</si>
  <si>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</si>
  <si>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</si>
  <si>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</si>
  <si>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</si>
  <si>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</si>
  <si>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</si>
  <si>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</si>
  <si>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</si>
  <si>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</si>
  <si>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</si>
  <si>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</si>
  <si>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</si>
  <si>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</si>
  <si>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</si>
  <si>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</si>
  <si>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</si>
  <si>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</si>
  <si>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</si>
  <si>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</si>
  <si>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</si>
  <si>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</si>
  <si>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</si>
  <si>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</si>
  <si>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</si>
  <si>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</si>
  <si>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</si>
  <si>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</si>
  <si>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</si>
  <si>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</si>
  <si>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</si>
  <si>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</si>
  <si>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</si>
  <si>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</si>
  <si>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</si>
  <si>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</si>
  <si>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</si>
  <si>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</si>
  <si>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</si>
  <si>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</si>
  <si>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</si>
  <si>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</si>
  <si>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</si>
  <si>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</si>
  <si>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</si>
  <si>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</si>
  <si>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</si>
  <si>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</si>
  <si>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</si>
  <si>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</si>
  <si>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</si>
  <si>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</si>
  <si>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</si>
  <si>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</si>
  <si>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</si>
  <si>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</si>
  <si>
    <t>Number of Sectors</t>
  </si>
  <si>
    <t>Industry - unskilled</t>
  </si>
  <si>
    <t>Industry - skilled</t>
  </si>
  <si>
    <t>Services - unskilled</t>
  </si>
  <si>
    <t>Services - skilled</t>
  </si>
  <si>
    <t>unpop_15up</t>
  </si>
  <si>
    <t>Population, 15+ (UN 2024)</t>
  </si>
  <si>
    <t>pvpop_15up</t>
  </si>
  <si>
    <t>SM 2024</t>
  </si>
  <si>
    <t>Population, 15+ (POV)</t>
  </si>
  <si>
    <t>Wage Premia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</si>
</sst>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 numFmtId="175" formatCode="#,##0.000000"/>
  </numFmts>
  <fonts count="128"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s>
  <fills count="33">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
      <patternFill patternType="solid">
        <fgColor theme="4" tint="0.79998168889431442"/>
        <bgColor indexed="64"/>
      </patternFill>
    </fill>
  </fills>
  <borders count="51">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
      <left style="thin">
        <color indexed="64"/>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45">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8" fillId="32" borderId="0" xfId="0" applyFont="1" applyFill="1" applyAlignment="1" applyProtection="1">
      <protection locked="0"/>
    </xf>
    <xf numFmtId="0" fontId="38" fillId="32" borderId="0" xfId="0" applyFont="1" applyFill="1" applyAlignment="1" applyProtection="1">
      <protection locked="0"/>
    </xf>
    <xf numFmtId="0" fontId="8" fillId="32" borderId="0" xfId="0" applyFont="1" applyFill="1" applyAlignment="1" applyProtection="1">
      <alignment horizontal="center"/>
      <protection locked="0"/>
    </xf>
    <xf numFmtId="0" fontId="77" fillId="4" borderId="0" xfId="6" applyFont="1" applyFill="1" applyBorder="1" applyAlignment="1" applyProtection="1">
      <alignment horizontal="center"/>
      <protection locked="0"/>
    </xf>
    <xf numFmtId="10" fontId="76" fillId="8" borderId="50" xfId="2" applyNumberFormat="1" applyFont="1" applyFill="1" applyBorder="1" applyAlignment="1" applyProtection="1">
      <alignment horizontal="right" vertical="center"/>
    </xf>
    <xf numFmtId="43" fontId="76" fillId="4" borderId="0" xfId="1" applyFont="1" applyFill="1" applyBorder="1" applyProtection="1"/>
    <xf numFmtId="175" fontId="76" fillId="8" borderId="0" xfId="0" applyNumberFormat="1" applyFont="1" applyFill="1" applyAlignment="1">
      <alignment horizontal="right"/>
    </xf>
    <xf numFmtId="10" fontId="29" fillId="4" borderId="0" xfId="2" applyNumberFormat="1" applyFont="1" applyFill="1"/>
    <xf numFmtId="2" fontId="100" fillId="26" borderId="0" xfId="3" applyNumberFormat="1" applyFont="1" applyFill="1" applyAlignment="1">
      <alignment horizontal="center" vertical="center"/>
    </xf>
    <xf numFmtId="0" fontId="13" fillId="4" borderId="2" xfId="0" applyFont="1" applyFill="1" applyBorder="1" applyAlignment="1">
      <alignment vertical="center"/>
    </xf>
    <xf numFmtId="0" fontId="5" fillId="14" borderId="0" xfId="0" applyFont="1" applyFill="1" applyAlignment="1">
      <alignment horizontal="left" vertical="center"/>
    </xf>
    <xf numFmtId="0" fontId="5" fillId="14" borderId="0" xfId="0" applyFont="1" applyFill="1" applyAlignment="1">
      <alignment horizontal="left" vertical="top"/>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41" fillId="15" borderId="0" xfId="0" applyFont="1" applyFill="1" applyAlignment="1">
      <alignment horizontal="center" vertical="center"/>
    </xf>
    <xf numFmtId="0" fontId="5" fillId="14" borderId="0" xfId="0" applyFont="1" applyFill="1" applyAlignment="1">
      <alignment horizontal="left"/>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61" fillId="11" borderId="0" xfId="0" applyFont="1" applyFill="1" applyAlignment="1">
      <alignment horizont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41" fillId="20" borderId="0" xfId="0" applyFont="1" applyFill="1" applyAlignment="1" applyProtection="1">
      <alignment horizontal="center" vertical="center"/>
      <protection locked="0"/>
    </xf>
    <xf numFmtId="0" fontId="75" fillId="11" borderId="0" xfId="0" applyFont="1" applyFill="1" applyAlignment="1">
      <alignment horizontal="center"/>
    </xf>
    <xf numFmtId="0" fontId="41" fillId="3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6" fillId="11"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7" fillId="8" borderId="0" xfId="0" applyFont="1" applyFill="1" applyAlignment="1" applyProtection="1">
      <alignment horizontal="center" vertical="center" wrapText="1"/>
      <protection locked="0"/>
    </xf>
    <xf numFmtId="0" fontId="74" fillId="8" borderId="0" xfId="0" applyFont="1" applyFill="1" applyAlignment="1" applyProtection="1">
      <alignment horizontal="center" vertical="center" wrapText="1"/>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9" fillId="4" borderId="0" xfId="0" applyFont="1" applyFill="1" applyAlignment="1" applyProtection="1">
      <alignment horizontal="center" vertical="center"/>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86" fillId="23" borderId="0" xfId="0" applyFont="1" applyFill="1" applyAlignment="1">
      <alignment horizontal="left" vertical="center" wrapText="1"/>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38" fillId="24" borderId="0" xfId="0" applyFont="1" applyFill="1" applyAlignment="1">
      <alignment horizont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0" applyFont="1" applyFill="1" applyAlignment="1">
      <alignment horizontal="center" vertical="center" wrapText="1"/>
    </xf>
    <xf numFmtId="0" fontId="90" fillId="22" borderId="0" xfId="3" applyFont="1" applyFill="1" applyAlignment="1">
      <alignment horizontal="center" vertical="center"/>
    </xf>
    <xf numFmtId="0" fontId="90" fillId="22" borderId="0" xfId="0" applyFont="1" applyFill="1" applyAlignment="1">
      <alignment horizontal="center" vertical="center"/>
    </xf>
    <xf numFmtId="0" fontId="5" fillId="4" borderId="0" xfId="0" applyFont="1" applyFill="1" applyAlignment="1">
      <alignment horizontal="center" vertical="center" wrapText="1"/>
    </xf>
    <xf numFmtId="0" fontId="88" fillId="23" borderId="0" xfId="6" applyFont="1" applyFill="1" applyBorder="1" applyAlignment="1" applyProtection="1">
      <alignment horizontal="center" vertical="center" wrapText="1"/>
    </xf>
    <xf numFmtId="0" fontId="119" fillId="4" borderId="0" xfId="6" applyFont="1" applyFill="1" applyBorder="1" applyAlignment="1" applyProtection="1">
      <alignment horizontal="right"/>
    </xf>
    <xf numFmtId="0" fontId="92" fillId="4" borderId="0" xfId="0" applyFont="1" applyFill="1" applyAlignment="1">
      <alignment horizontal="left"/>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1" fillId="4" borderId="0" xfId="0" applyFont="1" applyFill="1" applyAlignment="1">
      <alignment horizontal="left"/>
    </xf>
    <xf numFmtId="0" fontId="98" fillId="26" borderId="0" xfId="0" applyFont="1" applyFill="1" applyAlignment="1">
      <alignment horizontal="center"/>
    </xf>
    <xf numFmtId="0" fontId="101" fillId="25"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101" fillId="18" borderId="0" xfId="0" applyFont="1" applyFill="1" applyAlignment="1">
      <alignment horizontal="center"/>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27" fillId="8" borderId="0" xfId="0" applyFont="1" applyFill="1" applyAlignment="1">
      <alignment vertic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27" fillId="26" borderId="0" xfId="0" applyFont="1" applyFill="1" applyAlignment="1">
      <alignment horizontal="left" vertical="center"/>
    </xf>
    <xf numFmtId="0" fontId="27" fillId="6" borderId="0" xfId="0" applyFont="1" applyFill="1" applyAlignment="1">
      <alignment vertical="center"/>
    </xf>
    <xf numFmtId="0" fontId="27" fillId="6" borderId="0" xfId="0" applyFont="1" applyFill="1" applyAlignment="1">
      <alignment horizontal="left" vertical="center"/>
    </xf>
    <xf numFmtId="0" fontId="27" fillId="23"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37" fillId="11" borderId="0" xfId="0" applyFont="1" applyFill="1" applyAlignment="1">
      <alignment horizontal="center" vertical="center"/>
    </xf>
    <xf numFmtId="0" fontId="9" fillId="17" borderId="0" xfId="0" applyFont="1" applyFill="1" applyAlignment="1">
      <alignment horizontal="center"/>
    </xf>
    <xf numFmtId="0" fontId="111" fillId="27" borderId="0" xfId="0" applyFont="1" applyFill="1" applyAlignment="1">
      <alignment horizontal="center" vertical="center"/>
    </xf>
    <xf numFmtId="0" fontId="9" fillId="3" borderId="0" xfId="0" applyFont="1" applyFill="1" applyAlignment="1">
      <alignment horizontal="center"/>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-2.5285794155077479</c:v>
                </c:pt>
                <c:pt idx="9">
                  <c:v>1.5025719225406606</c:v>
                </c:pt>
                <c:pt idx="10">
                  <c:v>1.1739184242495475</c:v>
                </c:pt>
                <c:pt idx="11">
                  <c:v>0.80000000000000071</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1.1505328220882303</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1.1505328220882303</c:v>
                </c:pt>
                <c:pt idx="9">
                  <c:v>2.4840825684808898</c:v>
                </c:pt>
                <c:pt idx="10">
                  <c:v>1.7024534313762301</c:v>
                </c:pt>
                <c:pt idx="11">
                  <c:v>0.78609828675584004</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c:v>
                </c:pt>
                <c:pt idx="9">
                  <c:v>0</c:v>
                </c:pt>
                <c:pt idx="10">
                  <c:v>0</c:v>
                </c:pt>
                <c:pt idx="11">
                  <c:v>0</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-2.5285794155077479</c:v>
                      </c:pt>
                      <c:pt idx="9">
                        <c:v>1.7123734593391373</c:v>
                      </c:pt>
                      <c:pt idx="10">
                        <c:v>1.337830637561211</c:v>
                      </c:pt>
                      <c:pt idx="11">
                        <c:v>0.96000000000000085</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2.47807069372849</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2.47807069372849</c:v>
                      </c:pt>
                      <c:pt idx="9">
                        <c:v>2.6264455997445202</c:v>
                      </c:pt>
                      <c:pt idx="10">
                        <c:v>1.8000212152136601</c:v>
                      </c:pt>
                      <c:pt idx="11">
                        <c:v>0.90703648471827703</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-2.5285794155077479</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-2.5285794155077479</c:v>
                </c:pt>
                <c:pt idx="7">
                  <c:v>1.7123734593391373</c:v>
                </c:pt>
                <c:pt idx="8">
                  <c:v>1.337830637561211</c:v>
                </c:pt>
                <c:pt idx="9">
                  <c:v>0.96000000000000085</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0.20943869164433096</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0.20943869164433096</c:v>
                </c:pt>
                <c:pt idx="7">
                  <c:v>0.703978911525863</c:v>
                </c:pt>
                <c:pt idx="8">
                  <c:v>2.2745939261390902</c:v>
                </c:pt>
                <c:pt idx="9">
                  <c:v>2.2868479548081999</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2.47807069372849</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2.47807069372849</c:v>
                </c:pt>
                <c:pt idx="7">
                  <c:v>2.6264455997445202</c:v>
                </c:pt>
                <c:pt idx="8">
                  <c:v>1.8000212152136601</c:v>
                </c:pt>
                <c:pt idx="9">
                  <c:v>0.90703648471827703</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-2.5285794155077479</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-2.5285794155077479</c:v>
                      </c:pt>
                      <c:pt idx="7">
                        <c:v>1.5025719225406606</c:v>
                      </c:pt>
                      <c:pt idx="8">
                        <c:v>1.1739184242495475</c:v>
                      </c:pt>
                      <c:pt idx="9">
                        <c:v>0.80000000000000071</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1.1505328220882303</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1.1505328220882303</c:v>
                      </c:pt>
                      <c:pt idx="7">
                        <c:v>2.4840825684808898</c:v>
                      </c:pt>
                      <c:pt idx="8">
                        <c:v>1.7024534313762301</c:v>
                      </c:pt>
                      <c:pt idx="9">
                        <c:v>0.78609828675584004</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-7.142629038286179</c:v>
                </c:pt>
                <c:pt idx="10" formatCode="0.00">
                  <c:v>-1.3904175119430546</c:v>
                </c:pt>
                <c:pt idx="11" formatCode="0.00">
                  <c:v>0.18803783251452932</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-4.6192151642489181</c:v>
                </c:pt>
                <c:pt idx="10" formatCode="0.00">
                  <c:v>-2.3015620399731027</c:v>
                </c:pt>
                <c:pt idx="11" formatCode="0.00">
                  <c:v>0.44234474925024081</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1.8159226368524184</c:v>
                      </c:pt>
                      <c:pt idx="10" formatCode="0.00">
                        <c:v>0.46324053803979526</c:v>
                      </c:pt>
                      <c:pt idx="11" formatCode="0.00">
                        <c:v>0.56411349754358797</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-0.49745394076526811</c:v>
                      </c:pt>
                      <c:pt idx="10" formatCode="0.00">
                        <c:v>-0.40111077196152994</c:v>
                      </c:pt>
                      <c:pt idx="11" formatCode="0.00">
                        <c:v>0.7077515988003853</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-0.74904072755167128</c:v>
                      </c:pt>
                      <c:pt idx="10" formatCode="0.00">
                        <c:v>-1.220339363207501</c:v>
                      </c:pt>
                      <c:pt idx="11" formatCode="0.00">
                        <c:v>0.26351343447444719</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-0.1702365289890162</c:v>
                      </c:pt>
                      <c:pt idx="10" formatCode="0.00">
                        <c:v>-0.14983625932936562</c:v>
                      </c:pt>
                      <c:pt idx="11" formatCode="0.00">
                        <c:v>0.46114851033028265</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0</c:v>
                </c:pt>
                <c:pt idx="1">
                  <c:v>0</c:v>
                </c:pt>
                <c:pt idx="2">
                  <c:v>0</c:v>
                </c:pt>
                <c:pt idx="3">
                  <c:v>0</c:v>
                </c:pt>
                <c:pt idx="4">
                  <c:v>0</c:v>
                </c:pt>
                <c:pt idx="5">
                  <c:v>0</c:v>
                </c:pt>
                <c:pt idx="6">
                  <c:v>0</c:v>
                </c:pt>
                <c:pt idx="7">
                  <c:v>0</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1.8159226368524184</c:v>
                </c:pt>
                <c:pt idx="10" formatCode="0.00">
                  <c:v>0.46324053803979526</c:v>
                </c:pt>
                <c:pt idx="11" formatCode="0.00">
                  <c:v>0.56411349754358797</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-0.49745394076526811</c:v>
                </c:pt>
                <c:pt idx="10" formatCode="0.00">
                  <c:v>-0.40111077196152994</c:v>
                </c:pt>
                <c:pt idx="11" formatCode="0.00">
                  <c:v>0.7077515988003853</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-0.74904072755167128</c:v>
                </c:pt>
                <c:pt idx="10" formatCode="0.00">
                  <c:v>-1.220339363207501</c:v>
                </c:pt>
                <c:pt idx="11" formatCode="0.00">
                  <c:v>0.26351343447444719</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-7.142629038286179</c:v>
                      </c:pt>
                      <c:pt idx="10" formatCode="0.00">
                        <c:v>-1.3904175119430546</c:v>
                      </c:pt>
                      <c:pt idx="11" formatCode="0.00">
                        <c:v>0.18803783251452932</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-4.6192151642489181</c:v>
                      </c:pt>
                      <c:pt idx="10" formatCode="0.00">
                        <c:v>-2.3015620399731027</c:v>
                      </c:pt>
                      <c:pt idx="11" formatCode="0.00">
                        <c:v>0.44234474925024081</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-0.1702365289890162</c:v>
                      </c:pt>
                      <c:pt idx="10" formatCode="0.00">
                        <c:v>-0.14983625932936562</c:v>
                      </c:pt>
                      <c:pt idx="11" formatCode="0.00">
                        <c:v>0.46114851033028265</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3.4975574633526962</c:v>
                </c:pt>
                <c:pt idx="10" formatCode="0.00">
                  <c:v>7.4999999999999956</c:v>
                </c:pt>
                <c:pt idx="11" formatCode="0.00">
                  <c:v>4.2999999999999927</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3.4975574633526962</c:v>
                </c:pt>
                <c:pt idx="10" formatCode="0.00">
                  <c:v>7.4999999999999956</c:v>
                </c:pt>
                <c:pt idx="11" formatCode="0.00">
                  <c:v>4.2999999999999927</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114299</xdr:colOff>
      <xdr:row>17</xdr:row>
      <xdr:rowOff>0</xdr:rowOff>
    </xdr:from>
    <xdr:to>
      <xdr:col>6</xdr:col>
      <xdr:colOff>45719</xdr:colOff>
      <xdr:row>23</xdr:row>
      <xdr:rowOff>152400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247774" y="2781300"/>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2</xdr:col>
      <xdr:colOff>2695575</xdr:colOff>
      <xdr:row>32</xdr:row>
      <xdr:rowOff>57150</xdr:rowOff>
    </xdr:from>
    <xdr:to>
      <xdr:col>7</xdr:col>
      <xdr:colOff>284481</xdr:colOff>
      <xdr:row>36</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3733800" y="66770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cell r="G1" t="str">
            <v>nsectors</v>
          </cell>
        </row>
        <row r="2">
          <cell r="A2" t="str">
            <v>BGD</v>
          </cell>
          <cell r="B2">
            <v>2016</v>
          </cell>
          <cell r="C2" t="str">
            <v>hspop_total</v>
          </cell>
          <cell r="D2">
            <v>159583216</v>
          </cell>
          <cell r="G2">
            <v>3</v>
          </cell>
        </row>
        <row r="3">
          <cell r="A3" t="str">
            <v>BGD</v>
          </cell>
          <cell r="B3">
            <v>2016</v>
          </cell>
          <cell r="C3" t="str">
            <v>hspop_0014</v>
          </cell>
          <cell r="D3">
            <v>51474876</v>
          </cell>
          <cell r="G3">
            <v>3</v>
          </cell>
        </row>
        <row r="4">
          <cell r="A4" t="str">
            <v>BGD</v>
          </cell>
          <cell r="B4">
            <v>2016</v>
          </cell>
          <cell r="C4" t="str">
            <v>hspop_15up</v>
          </cell>
          <cell r="D4">
            <v>108098696</v>
          </cell>
          <cell r="G4">
            <v>3</v>
          </cell>
        </row>
        <row r="5">
          <cell r="A5" t="str">
            <v>BGD</v>
          </cell>
          <cell r="B5">
            <v>2016</v>
          </cell>
          <cell r="C5" t="str">
            <v>hspop_65up</v>
          </cell>
          <cell r="D5">
            <v>7889021.5</v>
          </cell>
          <cell r="G5">
            <v>3</v>
          </cell>
        </row>
        <row r="6">
          <cell r="A6" t="str">
            <v>BGD</v>
          </cell>
          <cell r="B6">
            <v>2016</v>
          </cell>
          <cell r="C6" t="str">
            <v>hslstatus3_15up</v>
          </cell>
          <cell r="D6">
            <v>56123900</v>
          </cell>
          <cell r="G6">
            <v>3</v>
          </cell>
        </row>
        <row r="7">
          <cell r="A7" t="str">
            <v>BGD</v>
          </cell>
          <cell r="B7">
            <v>2016</v>
          </cell>
          <cell r="C7" t="str">
            <v>hslstatus2_15up</v>
          </cell>
          <cell r="D7">
            <v>1601973.25</v>
          </cell>
          <cell r="G7">
            <v>3</v>
          </cell>
        </row>
        <row r="8">
          <cell r="A8" t="str">
            <v>BGD</v>
          </cell>
          <cell r="B8">
            <v>2016</v>
          </cell>
          <cell r="C8" t="str">
            <v>hslstatus1_15up</v>
          </cell>
          <cell r="D8">
            <v>50372824</v>
          </cell>
          <cell r="G8">
            <v>3</v>
          </cell>
        </row>
        <row r="9">
          <cell r="A9" t="str">
            <v>BGD</v>
          </cell>
          <cell r="B9">
            <v>2016</v>
          </cell>
          <cell r="C9" t="str">
            <v>hslstatus12_15up</v>
          </cell>
          <cell r="D9">
            <v>51974800</v>
          </cell>
          <cell r="G9">
            <v>3</v>
          </cell>
        </row>
        <row r="10">
          <cell r="A10" t="str">
            <v>BGD</v>
          </cell>
          <cell r="B10">
            <v>2016</v>
          </cell>
          <cell r="C10" t="str">
            <v>hslstatus1_s0_a1</v>
          </cell>
          <cell r="D10">
            <v>2149601.5</v>
          </cell>
          <cell r="G10">
            <v>3</v>
          </cell>
        </row>
        <row r="11">
          <cell r="A11" t="str">
            <v>BGD</v>
          </cell>
          <cell r="B11">
            <v>2016</v>
          </cell>
          <cell r="C11" t="str">
            <v>hslstatus1_s0_a2</v>
          </cell>
          <cell r="D11">
            <v>9695195</v>
          </cell>
          <cell r="G11">
            <v>3</v>
          </cell>
        </row>
        <row r="12">
          <cell r="A12" t="str">
            <v>BGD</v>
          </cell>
          <cell r="B12">
            <v>2016</v>
          </cell>
          <cell r="C12" t="str">
            <v>hslstatus1_s0_a3</v>
          </cell>
          <cell r="D12">
            <v>13945782</v>
          </cell>
          <cell r="G12">
            <v>3</v>
          </cell>
        </row>
        <row r="13">
          <cell r="A13" t="str">
            <v>BGD</v>
          </cell>
          <cell r="B13">
            <v>2016</v>
          </cell>
          <cell r="C13" t="str">
            <v>hslstatus1_s1_a1</v>
          </cell>
          <cell r="D13">
            <v>14384454</v>
          </cell>
          <cell r="G13">
            <v>3</v>
          </cell>
        </row>
        <row r="14">
          <cell r="A14" t="str">
            <v>BGD</v>
          </cell>
          <cell r="B14">
            <v>2016</v>
          </cell>
          <cell r="C14" t="str">
            <v>hslstatus1_s1_a2</v>
          </cell>
          <cell r="D14">
            <v>2961032.75</v>
          </cell>
          <cell r="G14">
            <v>3</v>
          </cell>
        </row>
        <row r="15">
          <cell r="A15" t="str">
            <v>BGD</v>
          </cell>
          <cell r="B15">
            <v>2016</v>
          </cell>
          <cell r="C15" t="str">
            <v>hslstatus1_s1_a3</v>
          </cell>
          <cell r="D15">
            <v>6792211.5</v>
          </cell>
          <cell r="G15">
            <v>3</v>
          </cell>
        </row>
        <row r="16">
          <cell r="A16" t="str">
            <v>BGD</v>
          </cell>
          <cell r="B16">
            <v>2016</v>
          </cell>
          <cell r="C16" t="str">
            <v>hsip_total</v>
          </cell>
          <cell r="D16">
            <v>327.91162109375</v>
          </cell>
          <cell r="G16">
            <v>3</v>
          </cell>
        </row>
        <row r="17">
          <cell r="A17" t="str">
            <v>BGD</v>
          </cell>
          <cell r="B17">
            <v>2016</v>
          </cell>
          <cell r="C17" t="str">
            <v>hsip_s0_a1</v>
          </cell>
          <cell r="D17">
            <v>179.61456298828125</v>
          </cell>
          <cell r="G17">
            <v>3</v>
          </cell>
        </row>
        <row r="18">
          <cell r="A18" t="str">
            <v>BGD</v>
          </cell>
          <cell r="B18">
            <v>2016</v>
          </cell>
          <cell r="C18" t="str">
            <v>hsip_s0_a2</v>
          </cell>
          <cell r="D18">
            <v>287.7081298828125</v>
          </cell>
          <cell r="G18">
            <v>3</v>
          </cell>
        </row>
        <row r="19">
          <cell r="A19" t="str">
            <v>BGD</v>
          </cell>
          <cell r="B19">
            <v>2016</v>
          </cell>
          <cell r="C19" t="str">
            <v>hsip_s0_a3</v>
          </cell>
          <cell r="D19">
            <v>334.06631469726563</v>
          </cell>
          <cell r="G19">
            <v>3</v>
          </cell>
        </row>
        <row r="20">
          <cell r="A20" t="str">
            <v>BGD</v>
          </cell>
          <cell r="B20">
            <v>2016</v>
          </cell>
          <cell r="C20" t="str">
            <v>hsip_s1_a1</v>
          </cell>
          <cell r="D20">
            <v>211.47543334960938</v>
          </cell>
          <cell r="G20">
            <v>3</v>
          </cell>
        </row>
        <row r="21">
          <cell r="A21" t="str">
            <v>BGD</v>
          </cell>
          <cell r="B21">
            <v>2016</v>
          </cell>
          <cell r="C21" t="str">
            <v>hsip_s1_a2</v>
          </cell>
          <cell r="D21">
            <v>416.73294067382813</v>
          </cell>
          <cell r="G21">
            <v>3</v>
          </cell>
        </row>
        <row r="22">
          <cell r="A22" t="str">
            <v>BGD</v>
          </cell>
          <cell r="B22">
            <v>2016</v>
          </cell>
          <cell r="C22" t="str">
            <v>hsip_s1_a3</v>
          </cell>
          <cell r="D22">
            <v>591.46917724609375</v>
          </cell>
          <cell r="G22">
            <v>3</v>
          </cell>
        </row>
        <row r="23">
          <cell r="A23" t="str">
            <v>BGD</v>
          </cell>
          <cell r="B23">
            <v>2022</v>
          </cell>
          <cell r="C23" t="str">
            <v>hspop_total</v>
          </cell>
          <cell r="D23">
            <v>165687184</v>
          </cell>
          <cell r="G23">
            <v>3</v>
          </cell>
        </row>
        <row r="24">
          <cell r="A24" t="str">
            <v>BGD</v>
          </cell>
          <cell r="B24">
            <v>2022</v>
          </cell>
          <cell r="C24" t="str">
            <v>hspop_0014</v>
          </cell>
          <cell r="D24">
            <v>46586420</v>
          </cell>
          <cell r="G24">
            <v>3</v>
          </cell>
        </row>
        <row r="25">
          <cell r="A25" t="str">
            <v>BGD</v>
          </cell>
          <cell r="B25">
            <v>2022</v>
          </cell>
          <cell r="C25" t="str">
            <v>hspop_15up</v>
          </cell>
          <cell r="D25">
            <v>119100760</v>
          </cell>
          <cell r="G25">
            <v>3</v>
          </cell>
        </row>
        <row r="26">
          <cell r="A26" t="str">
            <v>BGD</v>
          </cell>
          <cell r="B26">
            <v>2022</v>
          </cell>
          <cell r="C26" t="str">
            <v>hspop_65up</v>
          </cell>
          <cell r="D26">
            <v>10251569</v>
          </cell>
          <cell r="G26">
            <v>3</v>
          </cell>
        </row>
        <row r="27">
          <cell r="A27" t="str">
            <v>BGD</v>
          </cell>
          <cell r="B27">
            <v>2022</v>
          </cell>
          <cell r="C27" t="str">
            <v>hslstatus3_15up</v>
          </cell>
          <cell r="D27">
            <v>58517504</v>
          </cell>
          <cell r="G27">
            <v>3</v>
          </cell>
        </row>
        <row r="28">
          <cell r="A28" t="str">
            <v>BGD</v>
          </cell>
          <cell r="B28">
            <v>2022</v>
          </cell>
          <cell r="C28" t="str">
            <v>hslstatus2_15up</v>
          </cell>
          <cell r="D28">
            <v>2443874</v>
          </cell>
          <cell r="G28">
            <v>3</v>
          </cell>
        </row>
        <row r="29">
          <cell r="A29" t="str">
            <v>BGD</v>
          </cell>
          <cell r="B29">
            <v>2022</v>
          </cell>
          <cell r="C29" t="str">
            <v>hslstatus1_15up</v>
          </cell>
          <cell r="D29">
            <v>58139384</v>
          </cell>
          <cell r="G29">
            <v>3</v>
          </cell>
        </row>
        <row r="30">
          <cell r="A30" t="str">
            <v>BGD</v>
          </cell>
          <cell r="B30">
            <v>2022</v>
          </cell>
          <cell r="C30" t="str">
            <v>hslstatus12_15up</v>
          </cell>
          <cell r="D30">
            <v>60583260</v>
          </cell>
          <cell r="G30">
            <v>3</v>
          </cell>
        </row>
        <row r="31">
          <cell r="A31" t="str">
            <v>BGD</v>
          </cell>
          <cell r="B31">
            <v>2022</v>
          </cell>
          <cell r="C31" t="str">
            <v>hslstatus1_s0_a1</v>
          </cell>
          <cell r="D31">
            <v>2610536</v>
          </cell>
          <cell r="G31">
            <v>3</v>
          </cell>
        </row>
        <row r="32">
          <cell r="A32" t="str">
            <v>BGD</v>
          </cell>
          <cell r="B32">
            <v>2022</v>
          </cell>
          <cell r="C32" t="str">
            <v>hslstatus1_s0_a2</v>
          </cell>
          <cell r="D32">
            <v>10125834</v>
          </cell>
          <cell r="G32">
            <v>3</v>
          </cell>
        </row>
        <row r="33">
          <cell r="A33" t="str">
            <v>BGD</v>
          </cell>
          <cell r="B33">
            <v>2022</v>
          </cell>
          <cell r="C33" t="str">
            <v>hslstatus1_s0_a3</v>
          </cell>
          <cell r="D33">
            <v>13278361</v>
          </cell>
          <cell r="G33">
            <v>3</v>
          </cell>
        </row>
        <row r="34">
          <cell r="A34" t="str">
            <v>BGD</v>
          </cell>
          <cell r="B34">
            <v>2022</v>
          </cell>
          <cell r="C34" t="str">
            <v>hslstatus1_s1_a1</v>
          </cell>
          <cell r="D34">
            <v>15871659</v>
          </cell>
          <cell r="G34">
            <v>3</v>
          </cell>
        </row>
        <row r="35">
          <cell r="A35" t="str">
            <v>BGD</v>
          </cell>
          <cell r="B35">
            <v>2022</v>
          </cell>
          <cell r="C35" t="str">
            <v>hslstatus1_s1_a2</v>
          </cell>
          <cell r="D35">
            <v>6066444</v>
          </cell>
          <cell r="G35">
            <v>3</v>
          </cell>
        </row>
        <row r="36">
          <cell r="A36" t="str">
            <v>BGD</v>
          </cell>
          <cell r="B36">
            <v>2022</v>
          </cell>
          <cell r="C36" t="str">
            <v>hslstatus1_s1_a3</v>
          </cell>
          <cell r="D36">
            <v>10186550</v>
          </cell>
          <cell r="G36">
            <v>3</v>
          </cell>
        </row>
        <row r="37">
          <cell r="A37" t="str">
            <v>BGD</v>
          </cell>
          <cell r="B37">
            <v>2022</v>
          </cell>
          <cell r="C37" t="str">
            <v>hsip_total</v>
          </cell>
          <cell r="D37">
            <v>641.521484375</v>
          </cell>
          <cell r="G37">
            <v>3</v>
          </cell>
        </row>
        <row r="38">
          <cell r="A38" t="str">
            <v>BGD</v>
          </cell>
          <cell r="B38">
            <v>2022</v>
          </cell>
          <cell r="C38" t="str">
            <v>hsip_s0_a1</v>
          </cell>
          <cell r="D38">
            <v>293.2978515625</v>
          </cell>
          <cell r="G38">
            <v>3</v>
          </cell>
        </row>
        <row r="39">
          <cell r="A39" t="str">
            <v>BGD</v>
          </cell>
          <cell r="B39">
            <v>2022</v>
          </cell>
          <cell r="C39" t="str">
            <v>hsip_s0_a2</v>
          </cell>
          <cell r="D39">
            <v>614.328125</v>
          </cell>
          <cell r="G39">
            <v>3</v>
          </cell>
        </row>
        <row r="40">
          <cell r="A40" t="str">
            <v>BGD</v>
          </cell>
          <cell r="B40">
            <v>2022</v>
          </cell>
          <cell r="C40" t="str">
            <v>hsip_s0_a3</v>
          </cell>
          <cell r="D40">
            <v>502.22030639648438</v>
          </cell>
          <cell r="G40">
            <v>3</v>
          </cell>
        </row>
        <row r="41">
          <cell r="A41" t="str">
            <v>BGD</v>
          </cell>
          <cell r="B41">
            <v>2022</v>
          </cell>
          <cell r="C41" t="str">
            <v>hsip_s1_a1</v>
          </cell>
          <cell r="D41">
            <v>395.90869140625</v>
          </cell>
          <cell r="G41">
            <v>3</v>
          </cell>
        </row>
        <row r="42">
          <cell r="A42" t="str">
            <v>BGD</v>
          </cell>
          <cell r="B42">
            <v>2022</v>
          </cell>
          <cell r="C42" t="str">
            <v>hsip_s1_a2</v>
          </cell>
          <cell r="D42">
            <v>866.3953857421875</v>
          </cell>
          <cell r="G42">
            <v>3</v>
          </cell>
        </row>
        <row r="43">
          <cell r="A43" t="str">
            <v>BGD</v>
          </cell>
          <cell r="B43">
            <v>2022</v>
          </cell>
          <cell r="C43" t="str">
            <v>hsip_s1_a3</v>
          </cell>
          <cell r="D43">
            <v>1200.75146484375</v>
          </cell>
          <cell r="G43">
            <v>3</v>
          </cell>
        </row>
        <row r="44">
          <cell r="A44" t="str">
            <v>BGD</v>
          </cell>
          <cell r="B44">
            <v>2016</v>
          </cell>
          <cell r="C44" t="str">
            <v>hspop_total</v>
          </cell>
          <cell r="D44">
            <v>159583216</v>
          </cell>
          <cell r="G44">
            <v>6</v>
          </cell>
        </row>
        <row r="45">
          <cell r="A45" t="str">
            <v>BGD</v>
          </cell>
          <cell r="B45">
            <v>2016</v>
          </cell>
          <cell r="C45" t="str">
            <v>hspop_0014</v>
          </cell>
          <cell r="D45">
            <v>51474876</v>
          </cell>
          <cell r="G45">
            <v>6</v>
          </cell>
        </row>
        <row r="46">
          <cell r="A46" t="str">
            <v>BGD</v>
          </cell>
          <cell r="B46">
            <v>2016</v>
          </cell>
          <cell r="C46" t="str">
            <v>hspop_15up</v>
          </cell>
          <cell r="D46">
            <v>108098696</v>
          </cell>
          <cell r="G46">
            <v>6</v>
          </cell>
        </row>
        <row r="47">
          <cell r="A47" t="str">
            <v>BGD</v>
          </cell>
          <cell r="B47">
            <v>2016</v>
          </cell>
          <cell r="C47" t="str">
            <v>hspop_65up</v>
          </cell>
          <cell r="D47">
            <v>7889021.5</v>
          </cell>
          <cell r="G47">
            <v>6</v>
          </cell>
        </row>
        <row r="48">
          <cell r="A48" t="str">
            <v>BGD</v>
          </cell>
          <cell r="B48">
            <v>2016</v>
          </cell>
          <cell r="C48" t="str">
            <v>hslstatus3_15up</v>
          </cell>
          <cell r="D48">
            <v>56123900</v>
          </cell>
          <cell r="G48">
            <v>6</v>
          </cell>
        </row>
        <row r="49">
          <cell r="A49" t="str">
            <v>BGD</v>
          </cell>
          <cell r="B49">
            <v>2016</v>
          </cell>
          <cell r="C49" t="str">
            <v>hslstatus2_15up</v>
          </cell>
          <cell r="D49">
            <v>1601973.25</v>
          </cell>
          <cell r="G49">
            <v>6</v>
          </cell>
        </row>
        <row r="50">
          <cell r="A50" t="str">
            <v>BGD</v>
          </cell>
          <cell r="B50">
            <v>2016</v>
          </cell>
          <cell r="C50" t="str">
            <v>hslstatus1_15up</v>
          </cell>
          <cell r="D50">
            <v>50372824</v>
          </cell>
          <cell r="G50">
            <v>6</v>
          </cell>
        </row>
        <row r="51">
          <cell r="A51" t="str">
            <v>BGD</v>
          </cell>
          <cell r="B51">
            <v>2016</v>
          </cell>
          <cell r="C51" t="str">
            <v>hslstatus12_15up</v>
          </cell>
          <cell r="D51">
            <v>51974800</v>
          </cell>
          <cell r="G51">
            <v>6</v>
          </cell>
        </row>
        <row r="52">
          <cell r="A52" t="str">
            <v>BGD</v>
          </cell>
          <cell r="B52">
            <v>2016</v>
          </cell>
          <cell r="C52" t="str">
            <v>hslstatus1_s0_a1</v>
          </cell>
          <cell r="D52">
            <v>2149601.5</v>
          </cell>
          <cell r="G52">
            <v>6</v>
          </cell>
        </row>
        <row r="53">
          <cell r="A53" t="str">
            <v>BGD</v>
          </cell>
          <cell r="B53">
            <v>2016</v>
          </cell>
          <cell r="C53" t="str">
            <v>hslstatus1_s0_a2</v>
          </cell>
          <cell r="D53">
            <v>1898241.375</v>
          </cell>
          <cell r="G53">
            <v>6</v>
          </cell>
        </row>
        <row r="54">
          <cell r="A54" t="str">
            <v>BGD</v>
          </cell>
          <cell r="B54">
            <v>2016</v>
          </cell>
          <cell r="C54" t="str">
            <v>hslstatus1_s0_a3</v>
          </cell>
          <cell r="D54">
            <v>7796953.5</v>
          </cell>
          <cell r="G54">
            <v>6</v>
          </cell>
        </row>
        <row r="55">
          <cell r="A55" t="str">
            <v>BGD</v>
          </cell>
          <cell r="B55">
            <v>2016</v>
          </cell>
          <cell r="C55" t="str">
            <v>hslstatus1_s0_a4</v>
          </cell>
          <cell r="D55">
            <v>4612845.5</v>
          </cell>
          <cell r="G55">
            <v>6</v>
          </cell>
        </row>
        <row r="56">
          <cell r="A56" t="str">
            <v>BGD</v>
          </cell>
          <cell r="B56">
            <v>2016</v>
          </cell>
          <cell r="C56" t="str">
            <v>hslstatus1_s0_a5</v>
          </cell>
          <cell r="D56">
            <v>3565555.25</v>
          </cell>
          <cell r="G56">
            <v>6</v>
          </cell>
        </row>
        <row r="57">
          <cell r="A57" t="str">
            <v>BGD</v>
          </cell>
          <cell r="B57">
            <v>2016</v>
          </cell>
          <cell r="C57" t="str">
            <v>hslstatus1_s0_a6</v>
          </cell>
          <cell r="D57">
            <v>6143354</v>
          </cell>
          <cell r="G57">
            <v>6</v>
          </cell>
        </row>
        <row r="58">
          <cell r="A58" t="str">
            <v>BGD</v>
          </cell>
          <cell r="B58">
            <v>2016</v>
          </cell>
          <cell r="C58" t="str">
            <v>hslstatus1_s1_a1</v>
          </cell>
          <cell r="D58">
            <v>14384454</v>
          </cell>
          <cell r="G58">
            <v>6</v>
          </cell>
        </row>
        <row r="59">
          <cell r="A59" t="str">
            <v>BGD</v>
          </cell>
          <cell r="B59">
            <v>2016</v>
          </cell>
          <cell r="C59" t="str">
            <v>hslstatus1_s1_a2</v>
          </cell>
          <cell r="D59">
            <v>842126.0625</v>
          </cell>
          <cell r="G59">
            <v>6</v>
          </cell>
        </row>
        <row r="60">
          <cell r="A60" t="str">
            <v>BGD</v>
          </cell>
          <cell r="B60">
            <v>2016</v>
          </cell>
          <cell r="C60" t="str">
            <v>hslstatus1_s1_a3</v>
          </cell>
          <cell r="D60">
            <v>2118906.75</v>
          </cell>
          <cell r="G60">
            <v>6</v>
          </cell>
        </row>
        <row r="61">
          <cell r="A61" t="str">
            <v>BGD</v>
          </cell>
          <cell r="B61">
            <v>2016</v>
          </cell>
          <cell r="C61" t="str">
            <v>hslstatus1_s1_a4</v>
          </cell>
          <cell r="D61">
            <v>220914.828125</v>
          </cell>
          <cell r="G61">
            <v>6</v>
          </cell>
        </row>
        <row r="62">
          <cell r="A62" t="str">
            <v>BGD</v>
          </cell>
          <cell r="B62">
            <v>2016</v>
          </cell>
          <cell r="C62" t="str">
            <v>hslstatus1_s1_a5</v>
          </cell>
          <cell r="D62">
            <v>2797810.5</v>
          </cell>
          <cell r="G62">
            <v>6</v>
          </cell>
        </row>
        <row r="63">
          <cell r="A63" t="str">
            <v>BGD</v>
          </cell>
          <cell r="B63">
            <v>2016</v>
          </cell>
          <cell r="C63" t="str">
            <v>hslstatus1_s1_a6</v>
          </cell>
          <cell r="D63">
            <v>3842063</v>
          </cell>
          <cell r="G63">
            <v>6</v>
          </cell>
        </row>
        <row r="64">
          <cell r="A64" t="str">
            <v>BGD</v>
          </cell>
          <cell r="B64">
            <v>2016</v>
          </cell>
          <cell r="C64" t="str">
            <v>hsip_total</v>
          </cell>
          <cell r="D64">
            <v>327.91162109375</v>
          </cell>
          <cell r="G64">
            <v>6</v>
          </cell>
        </row>
        <row r="65">
          <cell r="A65" t="str">
            <v>BGD</v>
          </cell>
          <cell r="B65">
            <v>2016</v>
          </cell>
          <cell r="C65" t="str">
            <v>hsip_s0_a1</v>
          </cell>
          <cell r="D65">
            <v>179.61456298828125</v>
          </cell>
          <cell r="G65">
            <v>6</v>
          </cell>
        </row>
        <row r="66">
          <cell r="A66" t="str">
            <v>BGD</v>
          </cell>
          <cell r="B66">
            <v>2016</v>
          </cell>
          <cell r="C66" t="str">
            <v>hsip_s0_a2</v>
          </cell>
          <cell r="D66">
            <v>261.93228149414063</v>
          </cell>
          <cell r="G66">
            <v>6</v>
          </cell>
        </row>
        <row r="67">
          <cell r="A67" t="str">
            <v>BGD</v>
          </cell>
          <cell r="B67">
            <v>2016</v>
          </cell>
          <cell r="C67" t="str">
            <v>hsip_s0_a3</v>
          </cell>
          <cell r="D67">
            <v>294.00186157226563</v>
          </cell>
          <cell r="G67">
            <v>6</v>
          </cell>
        </row>
        <row r="68">
          <cell r="A68" t="str">
            <v>BGD</v>
          </cell>
          <cell r="B68">
            <v>2016</v>
          </cell>
          <cell r="C68" t="str">
            <v>hsip_s0_a4</v>
          </cell>
          <cell r="D68">
            <v>349.70993041992188</v>
          </cell>
          <cell r="G68">
            <v>6</v>
          </cell>
        </row>
        <row r="69">
          <cell r="A69" t="str">
            <v>BGD</v>
          </cell>
          <cell r="B69">
            <v>2016</v>
          </cell>
          <cell r="C69" t="str">
            <v>hsip_s0_a5</v>
          </cell>
          <cell r="D69">
            <v>332.88925170898438</v>
          </cell>
          <cell r="G69">
            <v>6</v>
          </cell>
        </row>
        <row r="70">
          <cell r="A70" t="str">
            <v>BGD</v>
          </cell>
          <cell r="B70">
            <v>2016</v>
          </cell>
          <cell r="C70" t="str">
            <v>hsip_s0_a6</v>
          </cell>
          <cell r="D70">
            <v>322.44342041015625</v>
          </cell>
          <cell r="G70">
            <v>6</v>
          </cell>
        </row>
        <row r="71">
          <cell r="A71" t="str">
            <v>BGD</v>
          </cell>
          <cell r="B71">
            <v>2016</v>
          </cell>
          <cell r="C71" t="str">
            <v>hsip_s1_a1</v>
          </cell>
          <cell r="D71">
            <v>211.47543334960938</v>
          </cell>
          <cell r="G71">
            <v>6</v>
          </cell>
        </row>
        <row r="72">
          <cell r="A72" t="str">
            <v>BGD</v>
          </cell>
          <cell r="B72">
            <v>2016</v>
          </cell>
          <cell r="C72" t="str">
            <v>hsip_s1_a2</v>
          </cell>
          <cell r="D72">
            <v>312.73818969726563</v>
          </cell>
          <cell r="G72">
            <v>6</v>
          </cell>
        </row>
        <row r="73">
          <cell r="A73" t="str">
            <v>BGD</v>
          </cell>
          <cell r="B73">
            <v>2016</v>
          </cell>
          <cell r="C73" t="str">
            <v>hsip_s1_a3</v>
          </cell>
          <cell r="D73">
            <v>458.49246215820313</v>
          </cell>
          <cell r="G73">
            <v>6</v>
          </cell>
        </row>
        <row r="74">
          <cell r="A74" t="str">
            <v>BGD</v>
          </cell>
          <cell r="B74">
            <v>2016</v>
          </cell>
          <cell r="C74" t="str">
            <v>hsip_s1_a4</v>
          </cell>
          <cell r="D74">
            <v>454.86871337890625</v>
          </cell>
          <cell r="G74">
            <v>6</v>
          </cell>
        </row>
        <row r="75">
          <cell r="A75" t="str">
            <v>BGD</v>
          </cell>
          <cell r="B75">
            <v>2016</v>
          </cell>
          <cell r="C75" t="str">
            <v>hsip_s1_a5</v>
          </cell>
          <cell r="D75">
            <v>639.2706298828125</v>
          </cell>
          <cell r="G75">
            <v>6</v>
          </cell>
        </row>
        <row r="76">
          <cell r="A76" t="str">
            <v>BGD</v>
          </cell>
          <cell r="B76">
            <v>2016</v>
          </cell>
          <cell r="C76" t="str">
            <v>hsip_s1_a6</v>
          </cell>
          <cell r="D76">
            <v>562.82763671875</v>
          </cell>
          <cell r="G76">
            <v>6</v>
          </cell>
        </row>
        <row r="77">
          <cell r="A77" t="str">
            <v>BGD</v>
          </cell>
          <cell r="B77">
            <v>2022</v>
          </cell>
          <cell r="C77" t="str">
            <v>hspop_total</v>
          </cell>
          <cell r="D77">
            <v>165687184</v>
          </cell>
          <cell r="G77">
            <v>6</v>
          </cell>
        </row>
        <row r="78">
          <cell r="A78" t="str">
            <v>BGD</v>
          </cell>
          <cell r="B78">
            <v>2022</v>
          </cell>
          <cell r="C78" t="str">
            <v>hspop_0014</v>
          </cell>
          <cell r="D78">
            <v>46586420</v>
          </cell>
          <cell r="G78">
            <v>6</v>
          </cell>
        </row>
        <row r="79">
          <cell r="A79" t="str">
            <v>BGD</v>
          </cell>
          <cell r="B79">
            <v>2022</v>
          </cell>
          <cell r="C79" t="str">
            <v>hspop_15up</v>
          </cell>
          <cell r="D79">
            <v>119100760</v>
          </cell>
          <cell r="G79">
            <v>6</v>
          </cell>
        </row>
        <row r="80">
          <cell r="A80" t="str">
            <v>BGD</v>
          </cell>
          <cell r="B80">
            <v>2022</v>
          </cell>
          <cell r="C80" t="str">
            <v>hspop_65up</v>
          </cell>
          <cell r="D80">
            <v>10251569</v>
          </cell>
          <cell r="G80">
            <v>6</v>
          </cell>
        </row>
        <row r="81">
          <cell r="A81" t="str">
            <v>BGD</v>
          </cell>
          <cell r="B81">
            <v>2022</v>
          </cell>
          <cell r="C81" t="str">
            <v>hslstatus3_15up</v>
          </cell>
          <cell r="D81">
            <v>58517504</v>
          </cell>
          <cell r="G81">
            <v>6</v>
          </cell>
        </row>
        <row r="82">
          <cell r="A82" t="str">
            <v>BGD</v>
          </cell>
          <cell r="B82">
            <v>2022</v>
          </cell>
          <cell r="C82" t="str">
            <v>hslstatus2_15up</v>
          </cell>
          <cell r="D82">
            <v>2443874</v>
          </cell>
          <cell r="G82">
            <v>6</v>
          </cell>
        </row>
        <row r="83">
          <cell r="A83" t="str">
            <v>BGD</v>
          </cell>
          <cell r="B83">
            <v>2022</v>
          </cell>
          <cell r="C83" t="str">
            <v>hslstatus1_15up</v>
          </cell>
          <cell r="D83">
            <v>58139384</v>
          </cell>
          <cell r="G83">
            <v>6</v>
          </cell>
        </row>
        <row r="84">
          <cell r="A84" t="str">
            <v>BGD</v>
          </cell>
          <cell r="B84">
            <v>2022</v>
          </cell>
          <cell r="C84" t="str">
            <v>hslstatus12_15up</v>
          </cell>
          <cell r="D84">
            <v>60583260</v>
          </cell>
          <cell r="G84">
            <v>6</v>
          </cell>
        </row>
        <row r="85">
          <cell r="A85" t="str">
            <v>BGD</v>
          </cell>
          <cell r="B85">
            <v>2022</v>
          </cell>
          <cell r="C85" t="str">
            <v>hslstatus1_s0_a1</v>
          </cell>
          <cell r="D85">
            <v>2610536</v>
          </cell>
          <cell r="G85">
            <v>6</v>
          </cell>
        </row>
        <row r="86">
          <cell r="A86" t="str">
            <v>BGD</v>
          </cell>
          <cell r="B86">
            <v>2022</v>
          </cell>
          <cell r="C86" t="str">
            <v>hslstatus1_s0_a2</v>
          </cell>
          <cell r="D86">
            <v>2538588.5</v>
          </cell>
          <cell r="G86">
            <v>6</v>
          </cell>
        </row>
        <row r="87">
          <cell r="A87" t="str">
            <v>BGD</v>
          </cell>
          <cell r="B87">
            <v>2022</v>
          </cell>
          <cell r="C87" t="str">
            <v>hslstatus1_s0_a3</v>
          </cell>
          <cell r="D87">
            <v>7587245.5</v>
          </cell>
          <cell r="G87">
            <v>6</v>
          </cell>
        </row>
        <row r="88">
          <cell r="A88" t="str">
            <v>BGD</v>
          </cell>
          <cell r="B88">
            <v>2022</v>
          </cell>
          <cell r="C88" t="str">
            <v>hslstatus1_s0_a4</v>
          </cell>
          <cell r="D88">
            <v>4285764.5</v>
          </cell>
          <cell r="G88">
            <v>6</v>
          </cell>
        </row>
        <row r="89">
          <cell r="A89" t="str">
            <v>BGD</v>
          </cell>
          <cell r="B89">
            <v>2022</v>
          </cell>
          <cell r="C89" t="str">
            <v>hslstatus1_s0_a5</v>
          </cell>
          <cell r="D89">
            <v>3093875.25</v>
          </cell>
          <cell r="G89">
            <v>6</v>
          </cell>
        </row>
        <row r="90">
          <cell r="A90" t="str">
            <v>BGD</v>
          </cell>
          <cell r="B90">
            <v>2022</v>
          </cell>
          <cell r="C90" t="str">
            <v>hslstatus1_s0_a6</v>
          </cell>
          <cell r="D90">
            <v>5898721</v>
          </cell>
          <cell r="G90">
            <v>6</v>
          </cell>
        </row>
        <row r="91">
          <cell r="A91" t="str">
            <v>BGD</v>
          </cell>
          <cell r="B91">
            <v>2022</v>
          </cell>
          <cell r="C91" t="str">
            <v>hslstatus1_s1_a1</v>
          </cell>
          <cell r="D91">
            <v>15871659</v>
          </cell>
          <cell r="G91">
            <v>6</v>
          </cell>
        </row>
        <row r="92">
          <cell r="A92" t="str">
            <v>BGD</v>
          </cell>
          <cell r="B92">
            <v>2022</v>
          </cell>
          <cell r="C92" t="str">
            <v>hslstatus1_s1_a2</v>
          </cell>
          <cell r="D92">
            <v>1424723.25</v>
          </cell>
          <cell r="G92">
            <v>6</v>
          </cell>
        </row>
        <row r="93">
          <cell r="A93" t="str">
            <v>BGD</v>
          </cell>
          <cell r="B93">
            <v>2022</v>
          </cell>
          <cell r="C93" t="str">
            <v>hslstatus1_s1_a3</v>
          </cell>
          <cell r="D93">
            <v>4641721</v>
          </cell>
          <cell r="G93">
            <v>6</v>
          </cell>
        </row>
        <row r="94">
          <cell r="A94" t="str">
            <v>BGD</v>
          </cell>
          <cell r="B94">
            <v>2022</v>
          </cell>
          <cell r="C94" t="str">
            <v>hslstatus1_s1_a4</v>
          </cell>
          <cell r="D94">
            <v>450633.40625</v>
          </cell>
          <cell r="G94">
            <v>6</v>
          </cell>
        </row>
        <row r="95">
          <cell r="A95" t="str">
            <v>BGD</v>
          </cell>
          <cell r="B95">
            <v>2022</v>
          </cell>
          <cell r="C95" t="str">
            <v>hslstatus1_s1_a5</v>
          </cell>
          <cell r="D95">
            <v>4031439</v>
          </cell>
          <cell r="G95">
            <v>6</v>
          </cell>
        </row>
        <row r="96">
          <cell r="A96" t="str">
            <v>BGD</v>
          </cell>
          <cell r="B96">
            <v>2022</v>
          </cell>
          <cell r="C96" t="str">
            <v>hslstatus1_s1_a6</v>
          </cell>
          <cell r="D96">
            <v>5704478</v>
          </cell>
          <cell r="G96">
            <v>6</v>
          </cell>
        </row>
        <row r="97">
          <cell r="A97" t="str">
            <v>BGD</v>
          </cell>
          <cell r="B97">
            <v>2022</v>
          </cell>
          <cell r="C97" t="str">
            <v>hsip_total</v>
          </cell>
          <cell r="D97">
            <v>641.521484375</v>
          </cell>
          <cell r="G97">
            <v>6</v>
          </cell>
        </row>
        <row r="98">
          <cell r="A98" t="str">
            <v>BGD</v>
          </cell>
          <cell r="B98">
            <v>2022</v>
          </cell>
          <cell r="C98" t="str">
            <v>hsip_s0_a1</v>
          </cell>
          <cell r="D98">
            <v>293.2978515625</v>
          </cell>
          <cell r="G98">
            <v>6</v>
          </cell>
        </row>
        <row r="99">
          <cell r="A99" t="str">
            <v>BGD</v>
          </cell>
          <cell r="B99">
            <v>2022</v>
          </cell>
          <cell r="C99" t="str">
            <v>hsip_s0_a2</v>
          </cell>
          <cell r="D99">
            <v>412.9976806640625</v>
          </cell>
          <cell r="G99">
            <v>6</v>
          </cell>
        </row>
        <row r="100">
          <cell r="A100" t="str">
            <v>BGD</v>
          </cell>
          <cell r="B100">
            <v>2022</v>
          </cell>
          <cell r="C100" t="str">
            <v>hsip_s0_a3</v>
          </cell>
          <cell r="D100">
            <v>682.14544677734375</v>
          </cell>
          <cell r="G100">
            <v>6</v>
          </cell>
        </row>
        <row r="101">
          <cell r="A101" t="str">
            <v>BGD</v>
          </cell>
          <cell r="B101">
            <v>2022</v>
          </cell>
          <cell r="C101" t="str">
            <v>hsip_s0_a4</v>
          </cell>
          <cell r="D101">
            <v>498.9547119140625</v>
          </cell>
          <cell r="G101">
            <v>6</v>
          </cell>
        </row>
        <row r="102">
          <cell r="A102" t="str">
            <v>BGD</v>
          </cell>
          <cell r="B102">
            <v>2022</v>
          </cell>
          <cell r="C102" t="str">
            <v>hsip_s0_a5</v>
          </cell>
          <cell r="D102">
            <v>527.7125244140625</v>
          </cell>
          <cell r="G102">
            <v>6</v>
          </cell>
        </row>
        <row r="103">
          <cell r="A103" t="str">
            <v>BGD</v>
          </cell>
          <cell r="B103">
            <v>2022</v>
          </cell>
          <cell r="C103" t="str">
            <v>hsip_s0_a6</v>
          </cell>
          <cell r="D103">
            <v>478.79159545898438</v>
          </cell>
          <cell r="G103">
            <v>6</v>
          </cell>
        </row>
        <row r="104">
          <cell r="A104" t="str">
            <v>BGD</v>
          </cell>
          <cell r="B104">
            <v>2022</v>
          </cell>
          <cell r="C104" t="str">
            <v>hsip_s1_a1</v>
          </cell>
          <cell r="D104">
            <v>395.90869140625</v>
          </cell>
          <cell r="G104">
            <v>6</v>
          </cell>
        </row>
        <row r="105">
          <cell r="A105" t="str">
            <v>BGD</v>
          </cell>
          <cell r="B105">
            <v>2022</v>
          </cell>
          <cell r="C105" t="str">
            <v>hsip_s1_a2</v>
          </cell>
          <cell r="D105">
            <v>1189.447265625</v>
          </cell>
          <cell r="G105">
            <v>6</v>
          </cell>
        </row>
        <row r="106">
          <cell r="A106" t="str">
            <v>BGD</v>
          </cell>
          <cell r="B106">
            <v>2022</v>
          </cell>
          <cell r="C106" t="str">
            <v>hsip_s1_a3</v>
          </cell>
          <cell r="D106">
            <v>766.829345703125</v>
          </cell>
          <cell r="G106">
            <v>6</v>
          </cell>
        </row>
        <row r="107">
          <cell r="A107" t="str">
            <v>BGD</v>
          </cell>
          <cell r="B107">
            <v>2022</v>
          </cell>
          <cell r="C107" t="str">
            <v>hsip_s1_a4</v>
          </cell>
          <cell r="D107">
            <v>1249.073486328125</v>
          </cell>
          <cell r="G107">
            <v>6</v>
          </cell>
        </row>
        <row r="108">
          <cell r="A108" t="str">
            <v>BGD</v>
          </cell>
          <cell r="B108">
            <v>2022</v>
          </cell>
          <cell r="C108" t="str">
            <v>hsip_s1_a5</v>
          </cell>
          <cell r="D108">
            <v>1404.840087890625</v>
          </cell>
          <cell r="G108">
            <v>6</v>
          </cell>
        </row>
        <row r="109">
          <cell r="A109" t="str">
            <v>BGD</v>
          </cell>
          <cell r="B109">
            <v>2022</v>
          </cell>
          <cell r="C109" t="str">
            <v>hsip_s1_a6</v>
          </cell>
          <cell r="D109">
            <v>994.35748291015625</v>
          </cell>
          <cell r="G109">
            <v>6</v>
          </cell>
        </row>
        <row r="110">
          <cell r="A110" t="str">
            <v>BGD</v>
          </cell>
          <cell r="B110">
            <v>2005</v>
          </cell>
          <cell r="C110" t="str">
            <v>lfpop_total</v>
          </cell>
          <cell r="D110">
            <v>137298800</v>
          </cell>
          <cell r="G110">
            <v>3</v>
          </cell>
        </row>
        <row r="111">
          <cell r="A111" t="str">
            <v>BGD</v>
          </cell>
          <cell r="B111">
            <v>2005</v>
          </cell>
          <cell r="C111" t="str">
            <v>lfpop_0014</v>
          </cell>
          <cell r="D111">
            <v>52712600</v>
          </cell>
          <cell r="G111">
            <v>3</v>
          </cell>
        </row>
        <row r="112">
          <cell r="A112" t="str">
            <v>BGD</v>
          </cell>
          <cell r="B112">
            <v>2005</v>
          </cell>
          <cell r="C112" t="str">
            <v>lfpop_15up</v>
          </cell>
          <cell r="D112">
            <v>84586192</v>
          </cell>
          <cell r="G112">
            <v>3</v>
          </cell>
        </row>
        <row r="113">
          <cell r="A113" t="str">
            <v>BGD</v>
          </cell>
          <cell r="B113">
            <v>2005</v>
          </cell>
          <cell r="C113" t="str">
            <v>lfpop_65up</v>
          </cell>
          <cell r="D113">
            <v>4987599</v>
          </cell>
          <cell r="G113">
            <v>3</v>
          </cell>
        </row>
        <row r="114">
          <cell r="A114" t="str">
            <v>BGD</v>
          </cell>
          <cell r="B114">
            <v>2005</v>
          </cell>
          <cell r="C114" t="str">
            <v>lflstatus3_15up</v>
          </cell>
          <cell r="D114">
            <v>35174708</v>
          </cell>
          <cell r="G114">
            <v>3</v>
          </cell>
        </row>
        <row r="115">
          <cell r="A115" t="str">
            <v>BGD</v>
          </cell>
          <cell r="B115">
            <v>2005</v>
          </cell>
          <cell r="C115" t="str">
            <v>lflstatus2_15up</v>
          </cell>
          <cell r="D115">
            <v>2054896</v>
          </cell>
          <cell r="G115">
            <v>3</v>
          </cell>
        </row>
        <row r="116">
          <cell r="A116" t="str">
            <v>BGD</v>
          </cell>
          <cell r="B116">
            <v>2005</v>
          </cell>
          <cell r="C116" t="str">
            <v>lflstatus1_15up</v>
          </cell>
          <cell r="D116">
            <v>47356592</v>
          </cell>
          <cell r="G116">
            <v>3</v>
          </cell>
        </row>
        <row r="117">
          <cell r="A117" t="str">
            <v>BGD</v>
          </cell>
          <cell r="B117">
            <v>2005</v>
          </cell>
          <cell r="C117" t="str">
            <v>lflstatus12_15up</v>
          </cell>
          <cell r="D117">
            <v>49411488</v>
          </cell>
          <cell r="G117">
            <v>3</v>
          </cell>
        </row>
        <row r="118">
          <cell r="A118" t="str">
            <v>BGD</v>
          </cell>
          <cell r="B118">
            <v>2005</v>
          </cell>
          <cell r="C118" t="str">
            <v>lflstatus1_s0_a1</v>
          </cell>
          <cell r="D118">
            <v>7005826.5</v>
          </cell>
          <cell r="G118">
            <v>3</v>
          </cell>
        </row>
        <row r="119">
          <cell r="A119" t="str">
            <v>BGD</v>
          </cell>
          <cell r="B119">
            <v>2005</v>
          </cell>
          <cell r="C119" t="str">
            <v>lflstatus1_s0_a2</v>
          </cell>
          <cell r="D119">
            <v>6334386.5</v>
          </cell>
          <cell r="G119">
            <v>3</v>
          </cell>
        </row>
        <row r="120">
          <cell r="A120" t="str">
            <v>BGD</v>
          </cell>
          <cell r="B120">
            <v>2005</v>
          </cell>
          <cell r="C120" t="str">
            <v>lflstatus1_s0_a3</v>
          </cell>
          <cell r="D120">
            <v>15648033</v>
          </cell>
          <cell r="G120">
            <v>3</v>
          </cell>
        </row>
        <row r="121">
          <cell r="A121" t="str">
            <v>BGD</v>
          </cell>
          <cell r="B121">
            <v>2005</v>
          </cell>
          <cell r="C121" t="str">
            <v>lflstatus1_s1_a1</v>
          </cell>
          <cell r="D121">
            <v>15761191</v>
          </cell>
          <cell r="G121">
            <v>3</v>
          </cell>
        </row>
        <row r="122">
          <cell r="A122" t="str">
            <v>BGD</v>
          </cell>
          <cell r="B122">
            <v>2005</v>
          </cell>
          <cell r="C122" t="str">
            <v>lflstatus1_s1_a2</v>
          </cell>
          <cell r="D122">
            <v>465139.625</v>
          </cell>
          <cell r="G122">
            <v>3</v>
          </cell>
        </row>
        <row r="123">
          <cell r="A123" t="str">
            <v>BGD</v>
          </cell>
          <cell r="B123">
            <v>2005</v>
          </cell>
          <cell r="C123" t="str">
            <v>lflstatus1_s1_a3</v>
          </cell>
          <cell r="D123">
            <v>2142013.25</v>
          </cell>
          <cell r="G123">
            <v>3</v>
          </cell>
        </row>
        <row r="124">
          <cell r="A124" t="str">
            <v>BGD</v>
          </cell>
          <cell r="B124">
            <v>2005</v>
          </cell>
          <cell r="C124" t="str">
            <v>lfip_total</v>
          </cell>
          <cell r="D124">
            <v>2561.5537109375</v>
          </cell>
          <cell r="G124">
            <v>3</v>
          </cell>
        </row>
        <row r="125">
          <cell r="A125" t="str">
            <v>BGD</v>
          </cell>
          <cell r="B125">
            <v>2005</v>
          </cell>
          <cell r="C125" t="str">
            <v>lfip_s0_a1</v>
          </cell>
          <cell r="D125">
            <v>577.49951171875</v>
          </cell>
          <cell r="G125">
            <v>3</v>
          </cell>
        </row>
        <row r="126">
          <cell r="A126" t="str">
            <v>BGD</v>
          </cell>
          <cell r="B126">
            <v>2005</v>
          </cell>
          <cell r="C126" t="str">
            <v>lfip_s0_a2</v>
          </cell>
          <cell r="D126">
            <v>1833.658447265625</v>
          </cell>
          <cell r="G126">
            <v>3</v>
          </cell>
        </row>
        <row r="127">
          <cell r="A127" t="str">
            <v>BGD</v>
          </cell>
          <cell r="B127">
            <v>2005</v>
          </cell>
          <cell r="C127" t="str">
            <v>lfip_s0_a3</v>
          </cell>
          <cell r="D127">
            <v>4089.899658203125</v>
          </cell>
          <cell r="G127">
            <v>3</v>
          </cell>
        </row>
        <row r="128">
          <cell r="A128" t="str">
            <v>BGD</v>
          </cell>
          <cell r="B128">
            <v>2005</v>
          </cell>
          <cell r="C128" t="str">
            <v>lfip_s1_a1</v>
          </cell>
          <cell r="D128">
            <v>643.6427001953125</v>
          </cell>
          <cell r="G128">
            <v>3</v>
          </cell>
        </row>
        <row r="129">
          <cell r="A129" t="str">
            <v>BGD</v>
          </cell>
          <cell r="B129">
            <v>2005</v>
          </cell>
          <cell r="C129" t="str">
            <v>lfip_s1_a2</v>
          </cell>
          <cell r="D129">
            <v>6477.49072265625</v>
          </cell>
          <cell r="G129">
            <v>3</v>
          </cell>
        </row>
        <row r="130">
          <cell r="A130" t="str">
            <v>BGD</v>
          </cell>
          <cell r="B130">
            <v>2005</v>
          </cell>
          <cell r="C130" t="str">
            <v>lfip_s1_a3</v>
          </cell>
          <cell r="D130">
            <v>7048.1103515625</v>
          </cell>
          <cell r="G130">
            <v>3</v>
          </cell>
        </row>
        <row r="131">
          <cell r="A131" t="str">
            <v>BGD</v>
          </cell>
          <cell r="B131">
            <v>2010</v>
          </cell>
          <cell r="C131" t="str">
            <v>lfpop_total</v>
          </cell>
          <cell r="D131">
            <v>148708832</v>
          </cell>
          <cell r="G131">
            <v>3</v>
          </cell>
        </row>
        <row r="132">
          <cell r="A132" t="str">
            <v>BGD</v>
          </cell>
          <cell r="B132">
            <v>2010</v>
          </cell>
          <cell r="C132" t="str">
            <v>lfpop_0014</v>
          </cell>
          <cell r="D132">
            <v>53149724</v>
          </cell>
          <cell r="G132">
            <v>3</v>
          </cell>
        </row>
        <row r="133">
          <cell r="A133" t="str">
            <v>BGD</v>
          </cell>
          <cell r="B133">
            <v>2010</v>
          </cell>
          <cell r="C133" t="str">
            <v>lfpop_15up</v>
          </cell>
          <cell r="D133">
            <v>95559112</v>
          </cell>
          <cell r="G133">
            <v>3</v>
          </cell>
        </row>
        <row r="134">
          <cell r="A134" t="str">
            <v>BGD</v>
          </cell>
          <cell r="B134">
            <v>2010</v>
          </cell>
          <cell r="C134" t="str">
            <v>lfpop_65up</v>
          </cell>
          <cell r="D134">
            <v>5862520</v>
          </cell>
          <cell r="G134">
            <v>3</v>
          </cell>
        </row>
        <row r="135">
          <cell r="A135" t="str">
            <v>BGD</v>
          </cell>
          <cell r="B135">
            <v>2010</v>
          </cell>
          <cell r="C135" t="str">
            <v>lflstatus3_15up</v>
          </cell>
          <cell r="D135">
            <v>39868780</v>
          </cell>
          <cell r="G135">
            <v>3</v>
          </cell>
        </row>
        <row r="136">
          <cell r="A136" t="str">
            <v>BGD</v>
          </cell>
          <cell r="B136">
            <v>2010</v>
          </cell>
          <cell r="C136" t="str">
            <v>lflstatus2_15up</v>
          </cell>
          <cell r="D136">
            <v>1608066.125</v>
          </cell>
          <cell r="G136">
            <v>3</v>
          </cell>
        </row>
        <row r="137">
          <cell r="A137" t="str">
            <v>BGD</v>
          </cell>
          <cell r="B137">
            <v>2010</v>
          </cell>
          <cell r="C137" t="str">
            <v>lflstatus1_15up</v>
          </cell>
          <cell r="D137">
            <v>54082264</v>
          </cell>
          <cell r="G137">
            <v>3</v>
          </cell>
        </row>
        <row r="138">
          <cell r="A138" t="str">
            <v>BGD</v>
          </cell>
          <cell r="B138">
            <v>2010</v>
          </cell>
          <cell r="C138" t="str">
            <v>lflstatus12_15up</v>
          </cell>
          <cell r="D138">
            <v>55690332</v>
          </cell>
          <cell r="G138">
            <v>3</v>
          </cell>
        </row>
        <row r="139">
          <cell r="A139" t="str">
            <v>BGD</v>
          </cell>
          <cell r="B139">
            <v>2010</v>
          </cell>
          <cell r="C139" t="str">
            <v>lflstatus1_s0_a1</v>
          </cell>
          <cell r="D139">
            <v>18267238</v>
          </cell>
          <cell r="G139">
            <v>3</v>
          </cell>
        </row>
        <row r="140">
          <cell r="A140" t="str">
            <v>BGD</v>
          </cell>
          <cell r="B140">
            <v>2010</v>
          </cell>
          <cell r="C140" t="str">
            <v>lflstatus1_s0_a2</v>
          </cell>
          <cell r="D140">
            <v>9051451</v>
          </cell>
          <cell r="G140">
            <v>3</v>
          </cell>
        </row>
        <row r="141">
          <cell r="A141" t="str">
            <v>BGD</v>
          </cell>
          <cell r="B141">
            <v>2010</v>
          </cell>
          <cell r="C141" t="str">
            <v>lflstatus1_s0_a3</v>
          </cell>
          <cell r="D141">
            <v>16415426</v>
          </cell>
          <cell r="G141">
            <v>3</v>
          </cell>
        </row>
        <row r="142">
          <cell r="A142" t="str">
            <v>BGD</v>
          </cell>
          <cell r="B142">
            <v>2010</v>
          </cell>
          <cell r="C142" t="str">
            <v>lflstatus1_s1_a1</v>
          </cell>
          <cell r="D142">
            <v>7314990</v>
          </cell>
          <cell r="G142">
            <v>3</v>
          </cell>
        </row>
        <row r="143">
          <cell r="A143" t="str">
            <v>BGD</v>
          </cell>
          <cell r="B143">
            <v>2010</v>
          </cell>
          <cell r="C143" t="str">
            <v>lflstatus1_s1_a2</v>
          </cell>
          <cell r="D143">
            <v>359385.84375</v>
          </cell>
          <cell r="G143">
            <v>3</v>
          </cell>
        </row>
        <row r="144">
          <cell r="A144" t="str">
            <v>BGD</v>
          </cell>
          <cell r="B144">
            <v>2010</v>
          </cell>
          <cell r="C144" t="str">
            <v>lflstatus1_s1_a3</v>
          </cell>
          <cell r="D144">
            <v>2673775.25</v>
          </cell>
          <cell r="G144">
            <v>3</v>
          </cell>
        </row>
        <row r="145">
          <cell r="A145" t="str">
            <v>BGD</v>
          </cell>
          <cell r="B145">
            <v>2010</v>
          </cell>
          <cell r="C145" t="str">
            <v>lfip_total</v>
          </cell>
          <cell r="D145">
            <v>6925.07275390625</v>
          </cell>
          <cell r="G145">
            <v>3</v>
          </cell>
        </row>
        <row r="146">
          <cell r="A146" t="str">
            <v>BGD</v>
          </cell>
          <cell r="B146">
            <v>2010</v>
          </cell>
          <cell r="C146" t="str">
            <v>lfip_s0_a1</v>
          </cell>
          <cell r="D146">
            <v>5184.984375</v>
          </cell>
          <cell r="G146">
            <v>3</v>
          </cell>
        </row>
        <row r="147">
          <cell r="A147" t="str">
            <v>BGD</v>
          </cell>
          <cell r="B147">
            <v>2010</v>
          </cell>
          <cell r="C147" t="str">
            <v>lfip_s0_a2</v>
          </cell>
          <cell r="D147">
            <v>6439.28466796875</v>
          </cell>
          <cell r="G147">
            <v>3</v>
          </cell>
        </row>
        <row r="148">
          <cell r="A148" t="str">
            <v>BGD</v>
          </cell>
          <cell r="B148">
            <v>2010</v>
          </cell>
          <cell r="C148" t="str">
            <v>lfip_s0_a3</v>
          </cell>
          <cell r="D148">
            <v>7299.18603515625</v>
          </cell>
          <cell r="G148">
            <v>3</v>
          </cell>
        </row>
        <row r="149">
          <cell r="A149" t="str">
            <v>BGD</v>
          </cell>
          <cell r="B149">
            <v>2010</v>
          </cell>
          <cell r="C149" t="str">
            <v>lfip_s1_a1</v>
          </cell>
          <cell r="D149">
            <v>6754.3857421875</v>
          </cell>
          <cell r="G149">
            <v>3</v>
          </cell>
        </row>
        <row r="150">
          <cell r="A150" t="str">
            <v>BGD</v>
          </cell>
          <cell r="B150">
            <v>2010</v>
          </cell>
          <cell r="C150" t="str">
            <v>lfip_s1_a2</v>
          </cell>
          <cell r="D150">
            <v>12067.2939453125</v>
          </cell>
          <cell r="G150">
            <v>3</v>
          </cell>
        </row>
        <row r="151">
          <cell r="A151" t="str">
            <v>BGD</v>
          </cell>
          <cell r="B151">
            <v>2010</v>
          </cell>
          <cell r="C151" t="str">
            <v>lfip_s1_a3</v>
          </cell>
          <cell r="D151">
            <v>11525.2373046875</v>
          </cell>
          <cell r="G151">
            <v>3</v>
          </cell>
        </row>
        <row r="152">
          <cell r="A152" t="str">
            <v>BGD</v>
          </cell>
          <cell r="B152">
            <v>2013</v>
          </cell>
          <cell r="C152" t="str">
            <v>lfpop_total</v>
          </cell>
          <cell r="D152">
            <v>154145728</v>
          </cell>
          <cell r="G152">
            <v>3</v>
          </cell>
        </row>
        <row r="153">
          <cell r="A153" t="str">
            <v>BGD</v>
          </cell>
          <cell r="B153">
            <v>2013</v>
          </cell>
          <cell r="C153" t="str">
            <v>lfpop_0014</v>
          </cell>
          <cell r="D153">
            <v>47880580</v>
          </cell>
          <cell r="G153">
            <v>3</v>
          </cell>
        </row>
        <row r="154">
          <cell r="A154" t="str">
            <v>BGD</v>
          </cell>
          <cell r="B154">
            <v>2013</v>
          </cell>
          <cell r="C154" t="str">
            <v>lfpop_15up</v>
          </cell>
          <cell r="D154">
            <v>106265152</v>
          </cell>
          <cell r="G154">
            <v>3</v>
          </cell>
        </row>
        <row r="155">
          <cell r="A155" t="str">
            <v>BGD</v>
          </cell>
          <cell r="B155">
            <v>2013</v>
          </cell>
          <cell r="C155" t="str">
            <v>lfpop_65up</v>
          </cell>
          <cell r="D155">
            <v>8583175</v>
          </cell>
          <cell r="G155">
            <v>3</v>
          </cell>
        </row>
        <row r="156">
          <cell r="A156" t="str">
            <v>BGD</v>
          </cell>
          <cell r="B156">
            <v>2013</v>
          </cell>
          <cell r="C156" t="str">
            <v>lflstatus3_15up</v>
          </cell>
          <cell r="D156">
            <v>45604296</v>
          </cell>
          <cell r="G156">
            <v>3</v>
          </cell>
        </row>
        <row r="157">
          <cell r="A157" t="str">
            <v>BGD</v>
          </cell>
          <cell r="B157">
            <v>2013</v>
          </cell>
          <cell r="C157" t="str">
            <v>lflstatus2_15up</v>
          </cell>
          <cell r="D157">
            <v>2587918.75</v>
          </cell>
          <cell r="G157">
            <v>3</v>
          </cell>
        </row>
        <row r="158">
          <cell r="A158" t="str">
            <v>BGD</v>
          </cell>
          <cell r="B158">
            <v>2013</v>
          </cell>
          <cell r="C158" t="str">
            <v>lflstatus1_15up</v>
          </cell>
          <cell r="D158">
            <v>58072936</v>
          </cell>
          <cell r="G158">
            <v>3</v>
          </cell>
        </row>
        <row r="159">
          <cell r="A159" t="str">
            <v>BGD</v>
          </cell>
          <cell r="B159">
            <v>2013</v>
          </cell>
          <cell r="C159" t="str">
            <v>lflstatus12_15up</v>
          </cell>
          <cell r="D159">
            <v>60660856</v>
          </cell>
          <cell r="G159">
            <v>3</v>
          </cell>
        </row>
        <row r="160">
          <cell r="A160" t="str">
            <v>BGD</v>
          </cell>
          <cell r="B160">
            <v>2013</v>
          </cell>
          <cell r="C160" t="str">
            <v>lflstatus1_s0_a1</v>
          </cell>
          <cell r="D160">
            <v>4936498</v>
          </cell>
          <cell r="G160">
            <v>3</v>
          </cell>
        </row>
        <row r="161">
          <cell r="A161" t="str">
            <v>BGD</v>
          </cell>
          <cell r="B161">
            <v>2013</v>
          </cell>
          <cell r="C161" t="str">
            <v>lflstatus1_s0_a2</v>
          </cell>
          <cell r="D161">
            <v>11253454</v>
          </cell>
          <cell r="G161">
            <v>3</v>
          </cell>
        </row>
        <row r="162">
          <cell r="A162" t="str">
            <v>BGD</v>
          </cell>
          <cell r="B162">
            <v>2013</v>
          </cell>
          <cell r="C162" t="str">
            <v>lflstatus1_s0_a3</v>
          </cell>
          <cell r="D162">
            <v>16171735</v>
          </cell>
          <cell r="G162">
            <v>3</v>
          </cell>
        </row>
        <row r="163">
          <cell r="A163" t="str">
            <v>BGD</v>
          </cell>
          <cell r="B163">
            <v>2013</v>
          </cell>
          <cell r="C163" t="str">
            <v>lflstatus1_s1_a1</v>
          </cell>
          <cell r="D163">
            <v>21253488</v>
          </cell>
          <cell r="G163">
            <v>3</v>
          </cell>
        </row>
        <row r="164">
          <cell r="A164" t="str">
            <v>BGD</v>
          </cell>
          <cell r="B164">
            <v>2013</v>
          </cell>
          <cell r="C164" t="str">
            <v>lflstatus1_s1_a2</v>
          </cell>
          <cell r="D164">
            <v>620572.6875</v>
          </cell>
          <cell r="G164">
            <v>3</v>
          </cell>
        </row>
        <row r="165">
          <cell r="A165" t="str">
            <v>BGD</v>
          </cell>
          <cell r="B165">
            <v>2013</v>
          </cell>
          <cell r="C165" t="str">
            <v>lflstatus1_s1_a3</v>
          </cell>
          <cell r="D165">
            <v>3837188.5</v>
          </cell>
          <cell r="G165">
            <v>3</v>
          </cell>
        </row>
        <row r="166">
          <cell r="A166" t="str">
            <v>BGD</v>
          </cell>
          <cell r="B166">
            <v>2013</v>
          </cell>
          <cell r="C166" t="str">
            <v>lfip_total</v>
          </cell>
          <cell r="D166">
            <v>11492.9521484375</v>
          </cell>
          <cell r="G166">
            <v>3</v>
          </cell>
        </row>
        <row r="167">
          <cell r="A167" t="str">
            <v>BGD</v>
          </cell>
          <cell r="B167">
            <v>2013</v>
          </cell>
          <cell r="C167" t="str">
            <v>lfip_s0_a1</v>
          </cell>
          <cell r="D167">
            <v>8323.298828125</v>
          </cell>
          <cell r="G167">
            <v>3</v>
          </cell>
        </row>
        <row r="168">
          <cell r="A168" t="str">
            <v>BGD</v>
          </cell>
          <cell r="B168">
            <v>2013</v>
          </cell>
          <cell r="C168" t="str">
            <v>lfip_s0_a2</v>
          </cell>
          <cell r="D168">
            <v>10975.7080078125</v>
          </cell>
          <cell r="G168">
            <v>3</v>
          </cell>
        </row>
        <row r="169">
          <cell r="A169" t="str">
            <v>BGD</v>
          </cell>
          <cell r="B169">
            <v>2013</v>
          </cell>
          <cell r="C169" t="str">
            <v>lfip_s0_a3</v>
          </cell>
          <cell r="D169">
            <v>11029.3876953125</v>
          </cell>
          <cell r="G169">
            <v>3</v>
          </cell>
        </row>
        <row r="170">
          <cell r="A170" t="str">
            <v>BGD</v>
          </cell>
          <cell r="B170">
            <v>2013</v>
          </cell>
          <cell r="C170" t="str">
            <v>lfip_s1_a1</v>
          </cell>
          <cell r="D170">
            <v>9774.9033203125</v>
          </cell>
          <cell r="G170">
            <v>3</v>
          </cell>
        </row>
        <row r="171">
          <cell r="A171" t="str">
            <v>BGD</v>
          </cell>
          <cell r="B171">
            <v>2013</v>
          </cell>
          <cell r="C171" t="str">
            <v>lfip_s1_a2</v>
          </cell>
          <cell r="D171">
            <v>18965.896484375</v>
          </cell>
          <cell r="G171">
            <v>3</v>
          </cell>
        </row>
        <row r="172">
          <cell r="A172" t="str">
            <v>BGD</v>
          </cell>
          <cell r="B172">
            <v>2013</v>
          </cell>
          <cell r="C172" t="str">
            <v>lfip_s1_a3</v>
          </cell>
          <cell r="D172">
            <v>17782.576171875</v>
          </cell>
          <cell r="G172">
            <v>3</v>
          </cell>
        </row>
        <row r="173">
          <cell r="A173" t="str">
            <v>BGD</v>
          </cell>
          <cell r="B173">
            <v>2015</v>
          </cell>
          <cell r="C173" t="str">
            <v>lfpop_total</v>
          </cell>
          <cell r="D173">
            <v>158482912</v>
          </cell>
          <cell r="G173">
            <v>3</v>
          </cell>
        </row>
        <row r="174">
          <cell r="A174" t="str">
            <v>BGD</v>
          </cell>
          <cell r="B174">
            <v>2015</v>
          </cell>
          <cell r="C174" t="str">
            <v>lfpop_0014</v>
          </cell>
          <cell r="D174">
            <v>52350832</v>
          </cell>
          <cell r="G174">
            <v>3</v>
          </cell>
        </row>
        <row r="175">
          <cell r="A175" t="str">
            <v>BGD</v>
          </cell>
          <cell r="B175">
            <v>2015</v>
          </cell>
          <cell r="C175" t="str">
            <v>lfpop_15up</v>
          </cell>
          <cell r="D175">
            <v>106132080</v>
          </cell>
          <cell r="G175">
            <v>3</v>
          </cell>
        </row>
        <row r="176">
          <cell r="A176" t="str">
            <v>BGD</v>
          </cell>
          <cell r="B176">
            <v>2015</v>
          </cell>
          <cell r="C176" t="str">
            <v>lfpop_65up</v>
          </cell>
          <cell r="D176">
            <v>7456660</v>
          </cell>
          <cell r="G176">
            <v>3</v>
          </cell>
        </row>
        <row r="177">
          <cell r="A177" t="str">
            <v>BGD</v>
          </cell>
          <cell r="B177">
            <v>2015</v>
          </cell>
          <cell r="C177" t="str">
            <v>lflstatus3_15up</v>
          </cell>
          <cell r="D177">
            <v>44207308</v>
          </cell>
          <cell r="G177">
            <v>3</v>
          </cell>
        </row>
        <row r="178">
          <cell r="A178" t="str">
            <v>BGD</v>
          </cell>
          <cell r="B178">
            <v>2015</v>
          </cell>
          <cell r="C178" t="str">
            <v>lflstatus2_15up</v>
          </cell>
          <cell r="D178">
            <v>2268613</v>
          </cell>
          <cell r="G178">
            <v>3</v>
          </cell>
        </row>
        <row r="179">
          <cell r="A179" t="str">
            <v>BGD</v>
          </cell>
          <cell r="B179">
            <v>2015</v>
          </cell>
          <cell r="C179" t="str">
            <v>lflstatus1_15up</v>
          </cell>
          <cell r="D179">
            <v>59656156</v>
          </cell>
          <cell r="G179">
            <v>3</v>
          </cell>
        </row>
        <row r="180">
          <cell r="A180" t="str">
            <v>BGD</v>
          </cell>
          <cell r="B180">
            <v>2015</v>
          </cell>
          <cell r="C180" t="str">
            <v>lflstatus12_15up</v>
          </cell>
          <cell r="D180">
            <v>61924768</v>
          </cell>
          <cell r="G180">
            <v>3</v>
          </cell>
        </row>
        <row r="181">
          <cell r="A181" t="str">
            <v>BGD</v>
          </cell>
          <cell r="B181">
            <v>2015</v>
          </cell>
          <cell r="C181" t="str">
            <v>lflstatus1_s0_a1</v>
          </cell>
          <cell r="D181">
            <v>5990511.5</v>
          </cell>
          <cell r="G181">
            <v>3</v>
          </cell>
        </row>
        <row r="182">
          <cell r="A182" t="str">
            <v>BGD</v>
          </cell>
          <cell r="B182">
            <v>2015</v>
          </cell>
          <cell r="C182" t="str">
            <v>lflstatus1_s0_a2</v>
          </cell>
          <cell r="D182">
            <v>11029061</v>
          </cell>
          <cell r="G182">
            <v>3</v>
          </cell>
        </row>
        <row r="183">
          <cell r="A183" t="str">
            <v>BGD</v>
          </cell>
          <cell r="B183">
            <v>2015</v>
          </cell>
          <cell r="C183" t="str">
            <v>lflstatus1_s0_a3</v>
          </cell>
          <cell r="D183">
            <v>17925078</v>
          </cell>
          <cell r="G183">
            <v>3</v>
          </cell>
        </row>
        <row r="184">
          <cell r="A184" t="str">
            <v>BGD</v>
          </cell>
          <cell r="B184">
            <v>2015</v>
          </cell>
          <cell r="C184" t="str">
            <v>lflstatus1_s1_a1</v>
          </cell>
          <cell r="D184">
            <v>19377780</v>
          </cell>
          <cell r="G184">
            <v>3</v>
          </cell>
        </row>
        <row r="185">
          <cell r="A185" t="str">
            <v>BGD</v>
          </cell>
          <cell r="B185">
            <v>2015</v>
          </cell>
          <cell r="C185" t="str">
            <v>lflstatus1_s1_a2</v>
          </cell>
          <cell r="D185">
            <v>985946.25</v>
          </cell>
          <cell r="G185">
            <v>3</v>
          </cell>
        </row>
        <row r="186">
          <cell r="A186" t="str">
            <v>BGD</v>
          </cell>
          <cell r="B186">
            <v>2015</v>
          </cell>
          <cell r="C186" t="str">
            <v>lflstatus1_s1_a3</v>
          </cell>
          <cell r="D186">
            <v>4347779</v>
          </cell>
          <cell r="G186">
            <v>3</v>
          </cell>
        </row>
        <row r="187">
          <cell r="A187" t="str">
            <v>BGD</v>
          </cell>
          <cell r="B187">
            <v>2015</v>
          </cell>
          <cell r="C187" t="str">
            <v>lfip_total</v>
          </cell>
          <cell r="D187">
            <v>12714.9091796875</v>
          </cell>
          <cell r="G187">
            <v>3</v>
          </cell>
        </row>
        <row r="188">
          <cell r="A188" t="str">
            <v>BGD</v>
          </cell>
          <cell r="B188">
            <v>2015</v>
          </cell>
          <cell r="C188" t="str">
            <v>lfip_s0_a1</v>
          </cell>
          <cell r="D188">
            <v>9156.154296875</v>
          </cell>
          <cell r="G188">
            <v>3</v>
          </cell>
        </row>
        <row r="189">
          <cell r="A189" t="str">
            <v>BGD</v>
          </cell>
          <cell r="B189">
            <v>2015</v>
          </cell>
          <cell r="C189" t="str">
            <v>lfip_s0_a2</v>
          </cell>
          <cell r="D189">
            <v>11365.7314453125</v>
          </cell>
          <cell r="G189">
            <v>3</v>
          </cell>
        </row>
        <row r="190">
          <cell r="A190" t="str">
            <v>BGD</v>
          </cell>
          <cell r="B190">
            <v>2015</v>
          </cell>
          <cell r="C190" t="str">
            <v>lfip_s0_a3</v>
          </cell>
          <cell r="D190">
            <v>12072.435546875</v>
          </cell>
          <cell r="G190">
            <v>3</v>
          </cell>
        </row>
        <row r="191">
          <cell r="A191" t="str">
            <v>BGD</v>
          </cell>
          <cell r="B191">
            <v>2015</v>
          </cell>
          <cell r="C191" t="str">
            <v>lfip_s1_a1</v>
          </cell>
          <cell r="D191">
            <v>9002.8056640625</v>
          </cell>
          <cell r="G191">
            <v>3</v>
          </cell>
        </row>
        <row r="192">
          <cell r="A192" t="str">
            <v>BGD</v>
          </cell>
          <cell r="B192">
            <v>2015</v>
          </cell>
          <cell r="C192" t="str">
            <v>lfip_s1_a2</v>
          </cell>
          <cell r="D192">
            <v>20689.78125</v>
          </cell>
          <cell r="G192">
            <v>3</v>
          </cell>
        </row>
        <row r="193">
          <cell r="A193" t="str">
            <v>BGD</v>
          </cell>
          <cell r="B193">
            <v>2015</v>
          </cell>
          <cell r="C193" t="str">
            <v>lfip_s1_a3</v>
          </cell>
          <cell r="D193">
            <v>21694.67578125</v>
          </cell>
          <cell r="G193">
            <v>3</v>
          </cell>
        </row>
        <row r="194">
          <cell r="A194" t="str">
            <v>BGD</v>
          </cell>
          <cell r="B194">
            <v>2016</v>
          </cell>
          <cell r="C194" t="str">
            <v>lfpop_total</v>
          </cell>
          <cell r="D194">
            <v>161338496</v>
          </cell>
          <cell r="G194">
            <v>3</v>
          </cell>
        </row>
        <row r="195">
          <cell r="A195" t="str">
            <v>BGD</v>
          </cell>
          <cell r="B195">
            <v>2016</v>
          </cell>
          <cell r="C195" t="str">
            <v>lfpop_0014</v>
          </cell>
          <cell r="D195">
            <v>52284868</v>
          </cell>
          <cell r="G195">
            <v>3</v>
          </cell>
        </row>
        <row r="196">
          <cell r="A196" t="str">
            <v>BGD</v>
          </cell>
          <cell r="B196">
            <v>2016</v>
          </cell>
          <cell r="C196" t="str">
            <v>lfpop_15up</v>
          </cell>
          <cell r="D196">
            <v>109053624</v>
          </cell>
          <cell r="G196">
            <v>3</v>
          </cell>
        </row>
        <row r="197">
          <cell r="A197" t="str">
            <v>BGD</v>
          </cell>
          <cell r="B197">
            <v>2016</v>
          </cell>
          <cell r="C197" t="str">
            <v>lfpop_65up</v>
          </cell>
          <cell r="D197">
            <v>7915245</v>
          </cell>
          <cell r="G197">
            <v>3</v>
          </cell>
        </row>
        <row r="198">
          <cell r="A198" t="str">
            <v>BGD</v>
          </cell>
          <cell r="B198">
            <v>2016</v>
          </cell>
          <cell r="C198" t="str">
            <v>lflstatus3_15up</v>
          </cell>
          <cell r="D198">
            <v>45229800</v>
          </cell>
          <cell r="G198">
            <v>3</v>
          </cell>
        </row>
        <row r="199">
          <cell r="A199" t="str">
            <v>BGD</v>
          </cell>
          <cell r="B199">
            <v>2016</v>
          </cell>
          <cell r="C199" t="str">
            <v>lflstatus2_15up</v>
          </cell>
          <cell r="D199">
            <v>2676684.75</v>
          </cell>
          <cell r="G199">
            <v>3</v>
          </cell>
        </row>
        <row r="200">
          <cell r="A200" t="str">
            <v>BGD</v>
          </cell>
          <cell r="B200">
            <v>2016</v>
          </cell>
          <cell r="C200" t="str">
            <v>lflstatus1_15up</v>
          </cell>
          <cell r="D200">
            <v>61147140</v>
          </cell>
          <cell r="G200">
            <v>3</v>
          </cell>
        </row>
        <row r="201">
          <cell r="A201" t="str">
            <v>BGD</v>
          </cell>
          <cell r="B201">
            <v>2016</v>
          </cell>
          <cell r="C201" t="str">
            <v>lflstatus12_15up</v>
          </cell>
          <cell r="D201">
            <v>63823824</v>
          </cell>
          <cell r="G201">
            <v>3</v>
          </cell>
        </row>
        <row r="202">
          <cell r="A202" t="str">
            <v>BGD</v>
          </cell>
          <cell r="B202">
            <v>2016</v>
          </cell>
          <cell r="C202" t="str">
            <v>lflstatus1_s0_a1</v>
          </cell>
          <cell r="D202">
            <v>5412589.5</v>
          </cell>
          <cell r="G202">
            <v>3</v>
          </cell>
        </row>
        <row r="203">
          <cell r="A203" t="str">
            <v>BGD</v>
          </cell>
          <cell r="B203">
            <v>2016</v>
          </cell>
          <cell r="C203" t="str">
            <v>lflstatus1_s0_a2</v>
          </cell>
          <cell r="D203">
            <v>11251069</v>
          </cell>
          <cell r="G203">
            <v>3</v>
          </cell>
        </row>
        <row r="204">
          <cell r="A204" t="str">
            <v>BGD</v>
          </cell>
          <cell r="B204">
            <v>2016</v>
          </cell>
          <cell r="C204" t="str">
            <v>lflstatus1_s0_a3</v>
          </cell>
          <cell r="D204">
            <v>19726422</v>
          </cell>
          <cell r="G204">
            <v>3</v>
          </cell>
        </row>
        <row r="205">
          <cell r="A205" t="str">
            <v>BGD</v>
          </cell>
          <cell r="B205">
            <v>2016</v>
          </cell>
          <cell r="C205" t="str">
            <v>lflstatus1_s1_a1</v>
          </cell>
          <cell r="D205">
            <v>19291128</v>
          </cell>
          <cell r="G205">
            <v>3</v>
          </cell>
        </row>
        <row r="206">
          <cell r="A206" t="str">
            <v>BGD</v>
          </cell>
          <cell r="B206">
            <v>2016</v>
          </cell>
          <cell r="C206" t="str">
            <v>lflstatus1_s1_a2</v>
          </cell>
          <cell r="D206">
            <v>1059578.5</v>
          </cell>
          <cell r="G206">
            <v>3</v>
          </cell>
        </row>
        <row r="207">
          <cell r="A207" t="str">
            <v>BGD</v>
          </cell>
          <cell r="B207">
            <v>2016</v>
          </cell>
          <cell r="C207" t="str">
            <v>lflstatus1_s1_a3</v>
          </cell>
          <cell r="D207">
            <v>4406354</v>
          </cell>
          <cell r="G207">
            <v>3</v>
          </cell>
        </row>
        <row r="208">
          <cell r="A208" t="str">
            <v>BGD</v>
          </cell>
          <cell r="B208">
            <v>2016</v>
          </cell>
          <cell r="C208" t="str">
            <v>lfip_total</v>
          </cell>
          <cell r="D208">
            <v>12960.4443359375</v>
          </cell>
          <cell r="G208">
            <v>3</v>
          </cell>
        </row>
        <row r="209">
          <cell r="A209" t="str">
            <v>BGD</v>
          </cell>
          <cell r="B209">
            <v>2016</v>
          </cell>
          <cell r="C209" t="str">
            <v>lfip_s0_a1</v>
          </cell>
          <cell r="D209">
            <v>8546.6611328125</v>
          </cell>
          <cell r="G209">
            <v>3</v>
          </cell>
        </row>
        <row r="210">
          <cell r="A210" t="str">
            <v>BGD</v>
          </cell>
          <cell r="B210">
            <v>2016</v>
          </cell>
          <cell r="C210" t="str">
            <v>lfip_s0_a2</v>
          </cell>
          <cell r="D210">
            <v>10202.3994140625</v>
          </cell>
          <cell r="G210">
            <v>3</v>
          </cell>
        </row>
        <row r="211">
          <cell r="A211" t="str">
            <v>BGD</v>
          </cell>
          <cell r="B211">
            <v>2016</v>
          </cell>
          <cell r="C211" t="str">
            <v>lfip_s0_a3</v>
          </cell>
          <cell r="D211">
            <v>11521.8740234375</v>
          </cell>
          <cell r="G211">
            <v>3</v>
          </cell>
        </row>
        <row r="212">
          <cell r="A212" t="str">
            <v>BGD</v>
          </cell>
          <cell r="B212">
            <v>2016</v>
          </cell>
          <cell r="C212" t="str">
            <v>lfip_s1_a1</v>
          </cell>
          <cell r="D212">
            <v>8247.0869140625</v>
          </cell>
          <cell r="G212">
            <v>3</v>
          </cell>
        </row>
        <row r="213">
          <cell r="A213" t="str">
            <v>BGD</v>
          </cell>
          <cell r="B213">
            <v>2016</v>
          </cell>
          <cell r="C213" t="str">
            <v>lfip_s1_a2</v>
          </cell>
          <cell r="D213">
            <v>24348.26171875</v>
          </cell>
          <cell r="G213">
            <v>3</v>
          </cell>
        </row>
        <row r="214">
          <cell r="A214" t="str">
            <v>BGD</v>
          </cell>
          <cell r="B214">
            <v>2016</v>
          </cell>
          <cell r="C214" t="str">
            <v>lfip_s1_a3</v>
          </cell>
          <cell r="D214">
            <v>27431.103515625</v>
          </cell>
          <cell r="G214">
            <v>3</v>
          </cell>
        </row>
        <row r="215">
          <cell r="A215" t="str">
            <v>BGD</v>
          </cell>
          <cell r="B215">
            <v>2022</v>
          </cell>
          <cell r="C215" t="str">
            <v>lfpop_total</v>
          </cell>
          <cell r="D215">
            <v>169777296</v>
          </cell>
          <cell r="G215">
            <v>3</v>
          </cell>
        </row>
        <row r="216">
          <cell r="A216" t="str">
            <v>BGD</v>
          </cell>
          <cell r="B216">
            <v>2022</v>
          </cell>
          <cell r="C216" t="str">
            <v>lfpop_0014</v>
          </cell>
          <cell r="D216">
            <v>50448260</v>
          </cell>
          <cell r="G216">
            <v>3</v>
          </cell>
        </row>
        <row r="217">
          <cell r="A217" t="str">
            <v>BGD</v>
          </cell>
          <cell r="B217">
            <v>2022</v>
          </cell>
          <cell r="C217" t="str">
            <v>lfpop_15up</v>
          </cell>
          <cell r="D217">
            <v>119329040</v>
          </cell>
          <cell r="G217">
            <v>3</v>
          </cell>
        </row>
        <row r="218">
          <cell r="A218" t="str">
            <v>BGD</v>
          </cell>
          <cell r="B218">
            <v>2022</v>
          </cell>
          <cell r="C218" t="str">
            <v>lfpop_65up</v>
          </cell>
          <cell r="D218">
            <v>8621047</v>
          </cell>
          <cell r="G218">
            <v>3</v>
          </cell>
        </row>
        <row r="219">
          <cell r="A219" t="str">
            <v>BGD</v>
          </cell>
          <cell r="B219">
            <v>2022</v>
          </cell>
          <cell r="C219" t="str">
            <v>lflstatus3_15up</v>
          </cell>
          <cell r="D219">
            <v>46270824</v>
          </cell>
          <cell r="G219">
            <v>3</v>
          </cell>
        </row>
        <row r="220">
          <cell r="A220" t="str">
            <v>BGD</v>
          </cell>
          <cell r="B220">
            <v>2022</v>
          </cell>
          <cell r="C220" t="str">
            <v>lflstatus2_15up</v>
          </cell>
          <cell r="D220">
            <v>2595568</v>
          </cell>
          <cell r="G220">
            <v>3</v>
          </cell>
        </row>
        <row r="221">
          <cell r="A221" t="str">
            <v>BGD</v>
          </cell>
          <cell r="B221">
            <v>2022</v>
          </cell>
          <cell r="C221" t="str">
            <v>lflstatus1_15up</v>
          </cell>
          <cell r="D221">
            <v>70462648</v>
          </cell>
          <cell r="G221">
            <v>3</v>
          </cell>
        </row>
        <row r="222">
          <cell r="A222" t="str">
            <v>BGD</v>
          </cell>
          <cell r="B222">
            <v>2022</v>
          </cell>
          <cell r="C222" t="str">
            <v>lflstatus12_15up</v>
          </cell>
          <cell r="D222">
            <v>73058216</v>
          </cell>
          <cell r="G222">
            <v>3</v>
          </cell>
        </row>
        <row r="223">
          <cell r="A223" t="str">
            <v>BGD</v>
          </cell>
          <cell r="B223">
            <v>2022</v>
          </cell>
          <cell r="C223" t="str">
            <v>lflstatus1_s0_a1</v>
          </cell>
          <cell r="D223">
            <v>15793763</v>
          </cell>
          <cell r="G223">
            <v>3</v>
          </cell>
        </row>
        <row r="224">
          <cell r="A224" t="str">
            <v>BGD</v>
          </cell>
          <cell r="B224">
            <v>2022</v>
          </cell>
          <cell r="C224" t="str">
            <v>lflstatus1_s0_a2</v>
          </cell>
          <cell r="D224">
            <v>10781156</v>
          </cell>
          <cell r="G224">
            <v>3</v>
          </cell>
        </row>
        <row r="225">
          <cell r="A225" t="str">
            <v>BGD</v>
          </cell>
          <cell r="B225">
            <v>2022</v>
          </cell>
          <cell r="C225" t="str">
            <v>lflstatus1_s0_a3</v>
          </cell>
          <cell r="D225">
            <v>22180030</v>
          </cell>
          <cell r="G225">
            <v>3</v>
          </cell>
        </row>
        <row r="226">
          <cell r="A226" t="str">
            <v>BGD</v>
          </cell>
          <cell r="B226">
            <v>2022</v>
          </cell>
          <cell r="C226" t="str">
            <v>lflstatus1_s1_a1</v>
          </cell>
          <cell r="D226">
            <v>13217936</v>
          </cell>
          <cell r="G226">
            <v>3</v>
          </cell>
        </row>
        <row r="227">
          <cell r="A227" t="str">
            <v>BGD</v>
          </cell>
          <cell r="B227">
            <v>2022</v>
          </cell>
          <cell r="C227" t="str">
            <v>lflstatus1_s1_a2</v>
          </cell>
          <cell r="D227">
            <v>1037171.8125</v>
          </cell>
          <cell r="G227">
            <v>3</v>
          </cell>
        </row>
        <row r="228">
          <cell r="A228" t="str">
            <v>BGD</v>
          </cell>
          <cell r="B228">
            <v>2022</v>
          </cell>
          <cell r="C228" t="str">
            <v>lflstatus1_s1_a3</v>
          </cell>
          <cell r="D228">
            <v>7452592</v>
          </cell>
          <cell r="G228">
            <v>3</v>
          </cell>
        </row>
        <row r="229">
          <cell r="A229" t="str">
            <v>BGD</v>
          </cell>
          <cell r="B229">
            <v>2022</v>
          </cell>
          <cell r="C229" t="str">
            <v>lfip_total</v>
          </cell>
          <cell r="D229">
            <v>13200.138671875</v>
          </cell>
          <cell r="G229">
            <v>3</v>
          </cell>
        </row>
        <row r="230">
          <cell r="A230" t="str">
            <v>BGD</v>
          </cell>
          <cell r="B230">
            <v>2022</v>
          </cell>
          <cell r="C230" t="str">
            <v>lfip_s0_a1</v>
          </cell>
          <cell r="D230">
            <v>8755.2080078125</v>
          </cell>
          <cell r="G230">
            <v>3</v>
          </cell>
        </row>
        <row r="231">
          <cell r="A231" t="str">
            <v>BGD</v>
          </cell>
          <cell r="B231">
            <v>2022</v>
          </cell>
          <cell r="C231" t="str">
            <v>lfip_s0_a2</v>
          </cell>
          <cell r="D231">
            <v>12220.458984375</v>
          </cell>
          <cell r="G231">
            <v>3</v>
          </cell>
        </row>
        <row r="232">
          <cell r="A232" t="str">
            <v>BGD</v>
          </cell>
          <cell r="B232">
            <v>2022</v>
          </cell>
          <cell r="C232" t="str">
            <v>lfip_s0_a3</v>
          </cell>
          <cell r="D232">
            <v>13440.2685546875</v>
          </cell>
          <cell r="G232">
            <v>3</v>
          </cell>
        </row>
        <row r="233">
          <cell r="A233" t="str">
            <v>BGD</v>
          </cell>
          <cell r="B233">
            <v>2022</v>
          </cell>
          <cell r="C233" t="str">
            <v>lfip_s1_a1</v>
          </cell>
          <cell r="D233">
            <v>8550.0966796875</v>
          </cell>
          <cell r="G233">
            <v>3</v>
          </cell>
        </row>
        <row r="234">
          <cell r="A234" t="str">
            <v>BGD</v>
          </cell>
          <cell r="B234">
            <v>2022</v>
          </cell>
          <cell r="C234" t="str">
            <v>lfip_s1_a2</v>
          </cell>
          <cell r="D234">
            <v>23635.66015625</v>
          </cell>
          <cell r="G234">
            <v>3</v>
          </cell>
        </row>
        <row r="235">
          <cell r="A235" t="str">
            <v>BGD</v>
          </cell>
          <cell r="B235">
            <v>2022</v>
          </cell>
          <cell r="C235" t="str">
            <v>lfip_s1_a3</v>
          </cell>
          <cell r="D235">
            <v>21013.87890625</v>
          </cell>
          <cell r="G235">
            <v>3</v>
          </cell>
        </row>
        <row r="236">
          <cell r="A236" t="str">
            <v>BGD</v>
          </cell>
          <cell r="B236">
            <v>2005</v>
          </cell>
          <cell r="C236" t="str">
            <v>lfpop_total</v>
          </cell>
          <cell r="D236">
            <v>137298800</v>
          </cell>
          <cell r="G236">
            <v>6</v>
          </cell>
        </row>
        <row r="237">
          <cell r="A237" t="str">
            <v>BGD</v>
          </cell>
          <cell r="B237">
            <v>2005</v>
          </cell>
          <cell r="C237" t="str">
            <v>lfpop_0014</v>
          </cell>
          <cell r="D237">
            <v>52712600</v>
          </cell>
          <cell r="G237">
            <v>6</v>
          </cell>
        </row>
        <row r="238">
          <cell r="A238" t="str">
            <v>BGD</v>
          </cell>
          <cell r="B238">
            <v>2005</v>
          </cell>
          <cell r="C238" t="str">
            <v>lfpop_15up</v>
          </cell>
          <cell r="D238">
            <v>84586192</v>
          </cell>
          <cell r="G238">
            <v>6</v>
          </cell>
        </row>
        <row r="239">
          <cell r="A239" t="str">
            <v>BGD</v>
          </cell>
          <cell r="B239">
            <v>2005</v>
          </cell>
          <cell r="C239" t="str">
            <v>lfpop_65up</v>
          </cell>
          <cell r="D239">
            <v>4987599</v>
          </cell>
          <cell r="G239">
            <v>6</v>
          </cell>
        </row>
        <row r="240">
          <cell r="A240" t="str">
            <v>BGD</v>
          </cell>
          <cell r="B240">
            <v>2005</v>
          </cell>
          <cell r="C240" t="str">
            <v>lflstatus3_15up</v>
          </cell>
          <cell r="D240">
            <v>35174708</v>
          </cell>
          <cell r="G240">
            <v>6</v>
          </cell>
        </row>
        <row r="241">
          <cell r="A241" t="str">
            <v>BGD</v>
          </cell>
          <cell r="B241">
            <v>2005</v>
          </cell>
          <cell r="C241" t="str">
            <v>lflstatus2_15up</v>
          </cell>
          <cell r="D241">
            <v>2054896</v>
          </cell>
          <cell r="G241">
            <v>6</v>
          </cell>
        </row>
        <row r="242">
          <cell r="A242" t="str">
            <v>BGD</v>
          </cell>
          <cell r="B242">
            <v>2005</v>
          </cell>
          <cell r="C242" t="str">
            <v>lflstatus1_15up</v>
          </cell>
          <cell r="D242">
            <v>47356592</v>
          </cell>
          <cell r="G242">
            <v>6</v>
          </cell>
        </row>
        <row r="243">
          <cell r="A243" t="str">
            <v>BGD</v>
          </cell>
          <cell r="B243">
            <v>2005</v>
          </cell>
          <cell r="C243" t="str">
            <v>lflstatus12_15up</v>
          </cell>
          <cell r="D243">
            <v>49411488</v>
          </cell>
          <cell r="G243">
            <v>6</v>
          </cell>
        </row>
        <row r="244">
          <cell r="A244" t="str">
            <v>BGD</v>
          </cell>
          <cell r="B244">
            <v>2005</v>
          </cell>
          <cell r="C244" t="str">
            <v>lflstatus1_s0_a1</v>
          </cell>
          <cell r="D244">
            <v>7005826.5</v>
          </cell>
          <cell r="G244">
            <v>6</v>
          </cell>
        </row>
        <row r="245">
          <cell r="A245" t="str">
            <v>BGD</v>
          </cell>
          <cell r="B245">
            <v>2005</v>
          </cell>
          <cell r="C245" t="str">
            <v>lflstatus1_s0_a2</v>
          </cell>
          <cell r="D245">
            <v>1450114.875</v>
          </cell>
          <cell r="G245">
            <v>6</v>
          </cell>
        </row>
        <row r="246">
          <cell r="A246" t="str">
            <v>BGD</v>
          </cell>
          <cell r="B246">
            <v>2005</v>
          </cell>
          <cell r="C246" t="str">
            <v>lflstatus1_s0_a3</v>
          </cell>
          <cell r="D246">
            <v>4884271.5</v>
          </cell>
          <cell r="G246">
            <v>6</v>
          </cell>
        </row>
        <row r="247">
          <cell r="A247" t="str">
            <v>BGD</v>
          </cell>
          <cell r="B247">
            <v>2005</v>
          </cell>
          <cell r="C247" t="str">
            <v>lflstatus1_s0_a4</v>
          </cell>
          <cell r="D247">
            <v>3935524.75</v>
          </cell>
          <cell r="G247">
            <v>6</v>
          </cell>
        </row>
        <row r="248">
          <cell r="A248" t="str">
            <v>BGD</v>
          </cell>
          <cell r="B248">
            <v>2005</v>
          </cell>
          <cell r="C248" t="str">
            <v>lflstatus1_s0_a5</v>
          </cell>
          <cell r="D248">
            <v>409830.46875</v>
          </cell>
          <cell r="G248">
            <v>6</v>
          </cell>
        </row>
        <row r="249">
          <cell r="A249" t="str">
            <v>BGD</v>
          </cell>
          <cell r="B249">
            <v>2005</v>
          </cell>
          <cell r="C249" t="str">
            <v>lflstatus1_s0_a6</v>
          </cell>
          <cell r="D249">
            <v>11302678</v>
          </cell>
          <cell r="G249">
            <v>6</v>
          </cell>
        </row>
        <row r="250">
          <cell r="A250" t="str">
            <v>BGD</v>
          </cell>
          <cell r="B250">
            <v>2005</v>
          </cell>
          <cell r="C250" t="str">
            <v>lflstatus1_s1_a1</v>
          </cell>
          <cell r="D250">
            <v>15761191</v>
          </cell>
          <cell r="G250">
            <v>6</v>
          </cell>
        </row>
        <row r="251">
          <cell r="A251" t="str">
            <v>BGD</v>
          </cell>
          <cell r="B251">
            <v>2005</v>
          </cell>
          <cell r="C251" t="str">
            <v>lflstatus1_s1_a2</v>
          </cell>
          <cell r="D251">
            <v>74227.421875</v>
          </cell>
          <cell r="G251">
            <v>6</v>
          </cell>
        </row>
        <row r="252">
          <cell r="A252" t="str">
            <v>BGD</v>
          </cell>
          <cell r="B252">
            <v>2005</v>
          </cell>
          <cell r="C252" t="str">
            <v>lflstatus1_s1_a3</v>
          </cell>
          <cell r="D252">
            <v>390912.21875</v>
          </cell>
          <cell r="G252">
            <v>6</v>
          </cell>
        </row>
        <row r="253">
          <cell r="A253" t="str">
            <v>BGD</v>
          </cell>
          <cell r="B253">
            <v>2005</v>
          </cell>
          <cell r="C253" t="str">
            <v>lflstatus1_s1_a4</v>
          </cell>
          <cell r="D253">
            <v>40371.58984375</v>
          </cell>
          <cell r="G253">
            <v>6</v>
          </cell>
        </row>
        <row r="254">
          <cell r="A254" t="str">
            <v>BGD</v>
          </cell>
          <cell r="B254">
            <v>2005</v>
          </cell>
          <cell r="C254" t="str">
            <v>lflstatus1_s1_a5</v>
          </cell>
          <cell r="D254">
            <v>335809.25</v>
          </cell>
          <cell r="G254">
            <v>6</v>
          </cell>
        </row>
        <row r="255">
          <cell r="A255" t="str">
            <v>BGD</v>
          </cell>
          <cell r="B255">
            <v>2005</v>
          </cell>
          <cell r="C255" t="str">
            <v>lflstatus1_s1_a6</v>
          </cell>
          <cell r="D255">
            <v>1765832.5</v>
          </cell>
          <cell r="G255">
            <v>6</v>
          </cell>
        </row>
        <row r="256">
          <cell r="A256" t="str">
            <v>BGD</v>
          </cell>
          <cell r="B256">
            <v>2005</v>
          </cell>
          <cell r="C256" t="str">
            <v>lfip_total</v>
          </cell>
          <cell r="D256">
            <v>2561.5537109375</v>
          </cell>
          <cell r="G256">
            <v>6</v>
          </cell>
        </row>
        <row r="257">
          <cell r="A257" t="str">
            <v>BGD</v>
          </cell>
          <cell r="B257">
            <v>2005</v>
          </cell>
          <cell r="C257" t="str">
            <v>lfip_s0_a1</v>
          </cell>
          <cell r="D257">
            <v>577.49951171875</v>
          </cell>
          <cell r="G257">
            <v>6</v>
          </cell>
        </row>
        <row r="258">
          <cell r="A258" t="str">
            <v>BGD</v>
          </cell>
          <cell r="B258">
            <v>2005</v>
          </cell>
          <cell r="C258" t="str">
            <v>lfip_s0_a2</v>
          </cell>
          <cell r="D258">
            <v>938.8114013671875</v>
          </cell>
          <cell r="G258">
            <v>6</v>
          </cell>
        </row>
        <row r="259">
          <cell r="A259" t="str">
            <v>BGD</v>
          </cell>
          <cell r="B259">
            <v>2005</v>
          </cell>
          <cell r="C259" t="str">
            <v>lfip_s0_a3</v>
          </cell>
          <cell r="D259">
            <v>2179.94580078125</v>
          </cell>
          <cell r="G259">
            <v>6</v>
          </cell>
        </row>
        <row r="260">
          <cell r="A260" t="str">
            <v>BGD</v>
          </cell>
          <cell r="B260">
            <v>2005</v>
          </cell>
          <cell r="C260" t="str">
            <v>lfip_s0_a4</v>
          </cell>
          <cell r="D260">
            <v>3002.865478515625</v>
          </cell>
          <cell r="G260">
            <v>6</v>
          </cell>
        </row>
        <row r="261">
          <cell r="A261" t="str">
            <v>BGD</v>
          </cell>
          <cell r="B261">
            <v>2005</v>
          </cell>
          <cell r="C261" t="str">
            <v>lfip_s0_a5</v>
          </cell>
          <cell r="D261">
            <v>6217.30419921875</v>
          </cell>
          <cell r="G261">
            <v>6</v>
          </cell>
        </row>
        <row r="262">
          <cell r="A262" t="str">
            <v>BGD</v>
          </cell>
          <cell r="B262">
            <v>2005</v>
          </cell>
          <cell r="C262" t="str">
            <v>lfip_s0_a6</v>
          </cell>
          <cell r="D262">
            <v>4191.7109375</v>
          </cell>
          <cell r="G262">
            <v>6</v>
          </cell>
        </row>
        <row r="263">
          <cell r="A263" t="str">
            <v>BGD</v>
          </cell>
          <cell r="B263">
            <v>2005</v>
          </cell>
          <cell r="C263" t="str">
            <v>lfip_s1_a1</v>
          </cell>
          <cell r="D263">
            <v>643.6427001953125</v>
          </cell>
          <cell r="G263">
            <v>6</v>
          </cell>
        </row>
        <row r="264">
          <cell r="A264" t="str">
            <v>BGD</v>
          </cell>
          <cell r="B264">
            <v>2005</v>
          </cell>
          <cell r="C264" t="str">
            <v>lfip_s1_a2</v>
          </cell>
          <cell r="D264">
            <v>7735.56591796875</v>
          </cell>
          <cell r="G264">
            <v>6</v>
          </cell>
        </row>
        <row r="265">
          <cell r="A265" t="str">
            <v>BGD</v>
          </cell>
          <cell r="B265">
            <v>2005</v>
          </cell>
          <cell r="C265" t="str">
            <v>lfip_s1_a3</v>
          </cell>
          <cell r="D265">
            <v>6337.97509765625</v>
          </cell>
          <cell r="G265">
            <v>6</v>
          </cell>
        </row>
        <row r="266">
          <cell r="A266" t="str">
            <v>BGD</v>
          </cell>
          <cell r="B266">
            <v>2005</v>
          </cell>
          <cell r="C266" t="str">
            <v>lfip_s1_a4</v>
          </cell>
          <cell r="D266">
            <v>8092.86669921875</v>
          </cell>
          <cell r="G266">
            <v>6</v>
          </cell>
        </row>
        <row r="267">
          <cell r="A267" t="str">
            <v>BGD</v>
          </cell>
          <cell r="B267">
            <v>2005</v>
          </cell>
          <cell r="C267" t="str">
            <v>lfip_s1_a5</v>
          </cell>
          <cell r="D267">
            <v>11334.40234375</v>
          </cell>
          <cell r="G267">
            <v>6</v>
          </cell>
        </row>
        <row r="268">
          <cell r="A268" t="str">
            <v>BGD</v>
          </cell>
          <cell r="B268">
            <v>2005</v>
          </cell>
          <cell r="C268" t="str">
            <v>lfip_s1_a6</v>
          </cell>
          <cell r="D268">
            <v>6214.62890625</v>
          </cell>
          <cell r="G268">
            <v>6</v>
          </cell>
        </row>
        <row r="269">
          <cell r="A269" t="str">
            <v>BGD</v>
          </cell>
          <cell r="B269">
            <v>2010</v>
          </cell>
          <cell r="C269" t="str">
            <v>lfpop_total</v>
          </cell>
          <cell r="D269">
            <v>148708832</v>
          </cell>
          <cell r="G269">
            <v>6</v>
          </cell>
        </row>
        <row r="270">
          <cell r="A270" t="str">
            <v>BGD</v>
          </cell>
          <cell r="B270">
            <v>2010</v>
          </cell>
          <cell r="C270" t="str">
            <v>lfpop_0014</v>
          </cell>
          <cell r="D270">
            <v>53149724</v>
          </cell>
          <cell r="G270">
            <v>6</v>
          </cell>
        </row>
        <row r="271">
          <cell r="A271" t="str">
            <v>BGD</v>
          </cell>
          <cell r="B271">
            <v>2010</v>
          </cell>
          <cell r="C271" t="str">
            <v>lfpop_15up</v>
          </cell>
          <cell r="D271">
            <v>95559112</v>
          </cell>
          <cell r="G271">
            <v>6</v>
          </cell>
        </row>
        <row r="272">
          <cell r="A272" t="str">
            <v>BGD</v>
          </cell>
          <cell r="B272">
            <v>2010</v>
          </cell>
          <cell r="C272" t="str">
            <v>lfpop_65up</v>
          </cell>
          <cell r="D272">
            <v>5862520</v>
          </cell>
          <cell r="G272">
            <v>6</v>
          </cell>
        </row>
        <row r="273">
          <cell r="A273" t="str">
            <v>BGD</v>
          </cell>
          <cell r="B273">
            <v>2010</v>
          </cell>
          <cell r="C273" t="str">
            <v>lflstatus3_15up</v>
          </cell>
          <cell r="D273">
            <v>39868780</v>
          </cell>
          <cell r="G273">
            <v>6</v>
          </cell>
        </row>
        <row r="274">
          <cell r="A274" t="str">
            <v>BGD</v>
          </cell>
          <cell r="B274">
            <v>2010</v>
          </cell>
          <cell r="C274" t="str">
            <v>lflstatus2_15up</v>
          </cell>
          <cell r="D274">
            <v>1608066.125</v>
          </cell>
          <cell r="G274">
            <v>6</v>
          </cell>
        </row>
        <row r="275">
          <cell r="A275" t="str">
            <v>BGD</v>
          </cell>
          <cell r="B275">
            <v>2010</v>
          </cell>
          <cell r="C275" t="str">
            <v>lflstatus1_15up</v>
          </cell>
          <cell r="D275">
            <v>54082264</v>
          </cell>
          <cell r="G275">
            <v>6</v>
          </cell>
        </row>
        <row r="276">
          <cell r="A276" t="str">
            <v>BGD</v>
          </cell>
          <cell r="B276">
            <v>2010</v>
          </cell>
          <cell r="C276" t="str">
            <v>lflstatus12_15up</v>
          </cell>
          <cell r="D276">
            <v>55690332</v>
          </cell>
          <cell r="G276">
            <v>6</v>
          </cell>
        </row>
        <row r="277">
          <cell r="A277" t="str">
            <v>BGD</v>
          </cell>
          <cell r="B277">
            <v>2010</v>
          </cell>
          <cell r="C277" t="str">
            <v>lflstatus1_s0_a1</v>
          </cell>
          <cell r="D277">
            <v>18267238</v>
          </cell>
          <cell r="G277">
            <v>6</v>
          </cell>
        </row>
        <row r="278">
          <cell r="A278" t="str">
            <v>BGD</v>
          </cell>
          <cell r="B278">
            <v>2010</v>
          </cell>
          <cell r="C278" t="str">
            <v>lflstatus1_s0_a2</v>
          </cell>
          <cell r="D278">
            <v>2502513.5</v>
          </cell>
          <cell r="G278">
            <v>6</v>
          </cell>
        </row>
        <row r="279">
          <cell r="A279" t="str">
            <v>BGD</v>
          </cell>
          <cell r="B279">
            <v>2010</v>
          </cell>
          <cell r="C279" t="str">
            <v>lflstatus1_s0_a3</v>
          </cell>
          <cell r="D279">
            <v>6548937.5</v>
          </cell>
          <cell r="G279">
            <v>6</v>
          </cell>
        </row>
        <row r="280">
          <cell r="A280" t="str">
            <v>BGD</v>
          </cell>
          <cell r="B280">
            <v>2010</v>
          </cell>
          <cell r="C280" t="str">
            <v>lflstatus1_s0_a4</v>
          </cell>
          <cell r="D280">
            <v>3945324.25</v>
          </cell>
          <cell r="G280">
            <v>6</v>
          </cell>
        </row>
        <row r="281">
          <cell r="A281" t="str">
            <v>BGD</v>
          </cell>
          <cell r="B281">
            <v>2010</v>
          </cell>
          <cell r="C281" t="str">
            <v>lflstatus1_s0_a5</v>
          </cell>
          <cell r="D281">
            <v>511314.21875</v>
          </cell>
          <cell r="G281">
            <v>6</v>
          </cell>
        </row>
        <row r="282">
          <cell r="A282" t="str">
            <v>BGD</v>
          </cell>
          <cell r="B282">
            <v>2010</v>
          </cell>
          <cell r="C282" t="str">
            <v>lflstatus1_s0_a6</v>
          </cell>
          <cell r="D282">
            <v>11958787</v>
          </cell>
          <cell r="G282">
            <v>6</v>
          </cell>
        </row>
        <row r="283">
          <cell r="A283" t="str">
            <v>BGD</v>
          </cell>
          <cell r="B283">
            <v>2010</v>
          </cell>
          <cell r="C283" t="str">
            <v>lflstatus1_s1_a1</v>
          </cell>
          <cell r="D283">
            <v>7314990</v>
          </cell>
          <cell r="G283">
            <v>6</v>
          </cell>
        </row>
        <row r="284">
          <cell r="A284" t="str">
            <v>BGD</v>
          </cell>
          <cell r="B284">
            <v>2010</v>
          </cell>
          <cell r="C284" t="str">
            <v>lflstatus1_s1_a2</v>
          </cell>
          <cell r="D284">
            <v>96820.8671875</v>
          </cell>
          <cell r="G284">
            <v>6</v>
          </cell>
        </row>
        <row r="285">
          <cell r="A285" t="str">
            <v>BGD</v>
          </cell>
          <cell r="B285">
            <v>2010</v>
          </cell>
          <cell r="C285" t="str">
            <v>lflstatus1_s1_a3</v>
          </cell>
          <cell r="D285">
            <v>262564.96875</v>
          </cell>
          <cell r="G285">
            <v>6</v>
          </cell>
        </row>
        <row r="286">
          <cell r="A286" t="str">
            <v>BGD</v>
          </cell>
          <cell r="B286">
            <v>2010</v>
          </cell>
          <cell r="C286" t="str">
            <v>lflstatus1_s1_a4</v>
          </cell>
          <cell r="D286">
            <v>66427.3125</v>
          </cell>
          <cell r="G286">
            <v>6</v>
          </cell>
        </row>
        <row r="287">
          <cell r="A287" t="str">
            <v>BGD</v>
          </cell>
          <cell r="B287">
            <v>2010</v>
          </cell>
          <cell r="C287" t="str">
            <v>lflstatus1_s1_a5</v>
          </cell>
          <cell r="D287">
            <v>485070.71875</v>
          </cell>
          <cell r="G287">
            <v>6</v>
          </cell>
        </row>
        <row r="288">
          <cell r="A288" t="str">
            <v>BGD</v>
          </cell>
          <cell r="B288">
            <v>2010</v>
          </cell>
          <cell r="C288" t="str">
            <v>lflstatus1_s1_a6</v>
          </cell>
          <cell r="D288">
            <v>2122277</v>
          </cell>
          <cell r="G288">
            <v>6</v>
          </cell>
        </row>
        <row r="289">
          <cell r="A289" t="str">
            <v>BGD</v>
          </cell>
          <cell r="B289">
            <v>2010</v>
          </cell>
          <cell r="C289" t="str">
            <v>lfip_total</v>
          </cell>
          <cell r="D289">
            <v>6925.07275390625</v>
          </cell>
          <cell r="G289">
            <v>6</v>
          </cell>
        </row>
        <row r="290">
          <cell r="A290" t="str">
            <v>BGD</v>
          </cell>
          <cell r="B290">
            <v>2010</v>
          </cell>
          <cell r="C290" t="str">
            <v>lfip_s0_a1</v>
          </cell>
          <cell r="D290">
            <v>5184.984375</v>
          </cell>
          <cell r="G290">
            <v>6</v>
          </cell>
        </row>
        <row r="291">
          <cell r="A291" t="str">
            <v>BGD</v>
          </cell>
          <cell r="B291">
            <v>2010</v>
          </cell>
          <cell r="C291" t="str">
            <v>lfip_s0_a2</v>
          </cell>
          <cell r="D291">
            <v>5606.43212890625</v>
          </cell>
          <cell r="G291">
            <v>6</v>
          </cell>
        </row>
        <row r="292">
          <cell r="A292" t="str">
            <v>BGD</v>
          </cell>
          <cell r="B292">
            <v>2010</v>
          </cell>
          <cell r="C292" t="str">
            <v>lfip_s0_a3</v>
          </cell>
          <cell r="D292">
            <v>6812.228515625</v>
          </cell>
          <cell r="G292">
            <v>6</v>
          </cell>
        </row>
        <row r="293">
          <cell r="A293" t="str">
            <v>BGD</v>
          </cell>
          <cell r="B293">
            <v>2010</v>
          </cell>
          <cell r="C293" t="str">
            <v>lfip_s0_a4</v>
          </cell>
          <cell r="D293">
            <v>5894.30322265625</v>
          </cell>
          <cell r="G293">
            <v>6</v>
          </cell>
        </row>
        <row r="294">
          <cell r="A294" t="str">
            <v>BGD</v>
          </cell>
          <cell r="B294">
            <v>2010</v>
          </cell>
          <cell r="C294" t="str">
            <v>lfip_s0_a5</v>
          </cell>
          <cell r="D294">
            <v>10740.423828125</v>
          </cell>
          <cell r="G294">
            <v>6</v>
          </cell>
        </row>
        <row r="295">
          <cell r="A295" t="str">
            <v>BGD</v>
          </cell>
          <cell r="B295">
            <v>2010</v>
          </cell>
          <cell r="C295" t="str">
            <v>lfip_s0_a6</v>
          </cell>
          <cell r="D295">
            <v>7682.86181640625</v>
          </cell>
          <cell r="G295">
            <v>6</v>
          </cell>
        </row>
        <row r="296">
          <cell r="A296" t="str">
            <v>BGD</v>
          </cell>
          <cell r="B296">
            <v>2010</v>
          </cell>
          <cell r="C296" t="str">
            <v>lfip_s1_a1</v>
          </cell>
          <cell r="D296">
            <v>6754.3857421875</v>
          </cell>
          <cell r="G296">
            <v>6</v>
          </cell>
        </row>
        <row r="297">
          <cell r="A297" t="str">
            <v>BGD</v>
          </cell>
          <cell r="B297">
            <v>2010</v>
          </cell>
          <cell r="C297" t="str">
            <v>lfip_s1_a2</v>
          </cell>
          <cell r="D297">
            <v>14989.1923828125</v>
          </cell>
          <cell r="G297">
            <v>6</v>
          </cell>
        </row>
        <row r="298">
          <cell r="A298" t="str">
            <v>BGD</v>
          </cell>
          <cell r="B298">
            <v>2010</v>
          </cell>
          <cell r="C298" t="str">
            <v>lfip_s1_a3</v>
          </cell>
          <cell r="D298">
            <v>10406.8916015625</v>
          </cell>
          <cell r="G298">
            <v>6</v>
          </cell>
        </row>
        <row r="299">
          <cell r="A299" t="str">
            <v>BGD</v>
          </cell>
          <cell r="B299">
            <v>2010</v>
          </cell>
          <cell r="C299" t="str">
            <v>lfip_s1_a4</v>
          </cell>
          <cell r="D299">
            <v>16210.470703125</v>
          </cell>
          <cell r="G299">
            <v>6</v>
          </cell>
        </row>
        <row r="300">
          <cell r="A300" t="str">
            <v>BGD</v>
          </cell>
          <cell r="B300">
            <v>2010</v>
          </cell>
          <cell r="C300" t="str">
            <v>lfip_s1_a5</v>
          </cell>
          <cell r="D300">
            <v>16350.1728515625</v>
          </cell>
          <cell r="G300">
            <v>6</v>
          </cell>
        </row>
        <row r="301">
          <cell r="A301" t="str">
            <v>BGD</v>
          </cell>
          <cell r="B301">
            <v>2010</v>
          </cell>
          <cell r="C301" t="str">
            <v>lfip_s1_a6</v>
          </cell>
          <cell r="D301">
            <v>10269.375</v>
          </cell>
          <cell r="G301">
            <v>6</v>
          </cell>
        </row>
        <row r="302">
          <cell r="A302" t="str">
            <v>BGD</v>
          </cell>
          <cell r="B302">
            <v>2013</v>
          </cell>
          <cell r="C302" t="str">
            <v>lfpop_total</v>
          </cell>
          <cell r="D302">
            <v>154145728</v>
          </cell>
          <cell r="G302">
            <v>6</v>
          </cell>
        </row>
        <row r="303">
          <cell r="A303" t="str">
            <v>BGD</v>
          </cell>
          <cell r="B303">
            <v>2013</v>
          </cell>
          <cell r="C303" t="str">
            <v>lfpop_0014</v>
          </cell>
          <cell r="D303">
            <v>47880580</v>
          </cell>
          <cell r="G303">
            <v>6</v>
          </cell>
        </row>
        <row r="304">
          <cell r="A304" t="str">
            <v>BGD</v>
          </cell>
          <cell r="B304">
            <v>2013</v>
          </cell>
          <cell r="C304" t="str">
            <v>lfpop_15up</v>
          </cell>
          <cell r="D304">
            <v>106265152</v>
          </cell>
          <cell r="G304">
            <v>6</v>
          </cell>
        </row>
        <row r="305">
          <cell r="A305" t="str">
            <v>BGD</v>
          </cell>
          <cell r="B305">
            <v>2013</v>
          </cell>
          <cell r="C305" t="str">
            <v>lfpop_65up</v>
          </cell>
          <cell r="D305">
            <v>8583175</v>
          </cell>
          <cell r="G305">
            <v>6</v>
          </cell>
        </row>
        <row r="306">
          <cell r="A306" t="str">
            <v>BGD</v>
          </cell>
          <cell r="B306">
            <v>2013</v>
          </cell>
          <cell r="C306" t="str">
            <v>lflstatus3_15up</v>
          </cell>
          <cell r="D306">
            <v>45604296</v>
          </cell>
          <cell r="G306">
            <v>6</v>
          </cell>
        </row>
        <row r="307">
          <cell r="A307" t="str">
            <v>BGD</v>
          </cell>
          <cell r="B307">
            <v>2013</v>
          </cell>
          <cell r="C307" t="str">
            <v>lflstatus2_15up</v>
          </cell>
          <cell r="D307">
            <v>2587918.75</v>
          </cell>
          <cell r="G307">
            <v>6</v>
          </cell>
        </row>
        <row r="308">
          <cell r="A308" t="str">
            <v>BGD</v>
          </cell>
          <cell r="B308">
            <v>2013</v>
          </cell>
          <cell r="C308" t="str">
            <v>lflstatus1_15up</v>
          </cell>
          <cell r="D308">
            <v>58072936</v>
          </cell>
          <cell r="G308">
            <v>6</v>
          </cell>
        </row>
        <row r="309">
          <cell r="A309" t="str">
            <v>BGD</v>
          </cell>
          <cell r="B309">
            <v>2013</v>
          </cell>
          <cell r="C309" t="str">
            <v>lflstatus12_15up</v>
          </cell>
          <cell r="D309">
            <v>60660856</v>
          </cell>
          <cell r="G309">
            <v>6</v>
          </cell>
        </row>
        <row r="310">
          <cell r="A310" t="str">
            <v>BGD</v>
          </cell>
          <cell r="B310">
            <v>2013</v>
          </cell>
          <cell r="C310" t="str">
            <v>lflstatus1_s0_a1</v>
          </cell>
          <cell r="D310">
            <v>4936498</v>
          </cell>
          <cell r="G310">
            <v>6</v>
          </cell>
        </row>
        <row r="311">
          <cell r="A311" t="str">
            <v>BGD</v>
          </cell>
          <cell r="B311">
            <v>2013</v>
          </cell>
          <cell r="C311" t="str">
            <v>lflstatus1_s0_a2</v>
          </cell>
          <cell r="D311">
            <v>1985236.875</v>
          </cell>
          <cell r="G311">
            <v>6</v>
          </cell>
        </row>
        <row r="312">
          <cell r="A312" t="str">
            <v>BGD</v>
          </cell>
          <cell r="B312">
            <v>2013</v>
          </cell>
          <cell r="C312" t="str">
            <v>lflstatus1_s0_a3</v>
          </cell>
          <cell r="D312">
            <v>9268217</v>
          </cell>
          <cell r="G312">
            <v>6</v>
          </cell>
        </row>
        <row r="313">
          <cell r="A313" t="str">
            <v>BGD</v>
          </cell>
          <cell r="B313">
            <v>2013</v>
          </cell>
          <cell r="C313" t="str">
            <v>lflstatus1_s0_a4</v>
          </cell>
          <cell r="D313">
            <v>3774465.75</v>
          </cell>
          <cell r="G313">
            <v>6</v>
          </cell>
        </row>
        <row r="314">
          <cell r="A314" t="str">
            <v>BGD</v>
          </cell>
          <cell r="B314">
            <v>2013</v>
          </cell>
          <cell r="C314" t="str">
            <v>lflstatus1_s0_a5</v>
          </cell>
          <cell r="D314">
            <v>708214.9375</v>
          </cell>
          <cell r="G314">
            <v>6</v>
          </cell>
        </row>
        <row r="315">
          <cell r="A315" t="str">
            <v>BGD</v>
          </cell>
          <cell r="B315">
            <v>2013</v>
          </cell>
          <cell r="C315" t="str">
            <v>lflstatus1_s0_a6</v>
          </cell>
          <cell r="D315">
            <v>11689054</v>
          </cell>
          <cell r="G315">
            <v>6</v>
          </cell>
        </row>
        <row r="316">
          <cell r="A316" t="str">
            <v>BGD</v>
          </cell>
          <cell r="B316">
            <v>2013</v>
          </cell>
          <cell r="C316" t="str">
            <v>lflstatus1_s1_a1</v>
          </cell>
          <cell r="D316">
            <v>21253488</v>
          </cell>
          <cell r="G316">
            <v>6</v>
          </cell>
        </row>
        <row r="317">
          <cell r="A317" t="str">
            <v>BGD</v>
          </cell>
          <cell r="B317">
            <v>2013</v>
          </cell>
          <cell r="C317" t="str">
            <v>lflstatus1_s1_a2</v>
          </cell>
          <cell r="D317">
            <v>158285.734375</v>
          </cell>
          <cell r="G317">
            <v>6</v>
          </cell>
        </row>
        <row r="318">
          <cell r="A318" t="str">
            <v>BGD</v>
          </cell>
          <cell r="B318">
            <v>2013</v>
          </cell>
          <cell r="C318" t="str">
            <v>lflstatus1_s1_a3</v>
          </cell>
          <cell r="D318">
            <v>462286.9375</v>
          </cell>
          <cell r="G318">
            <v>6</v>
          </cell>
        </row>
        <row r="319">
          <cell r="A319" t="str">
            <v>BGD</v>
          </cell>
          <cell r="B319">
            <v>2013</v>
          </cell>
          <cell r="C319" t="str">
            <v>lflstatus1_s1_a4</v>
          </cell>
          <cell r="D319">
            <v>114571.578125</v>
          </cell>
          <cell r="G319">
            <v>6</v>
          </cell>
        </row>
        <row r="320">
          <cell r="A320" t="str">
            <v>BGD</v>
          </cell>
          <cell r="B320">
            <v>2013</v>
          </cell>
          <cell r="C320" t="str">
            <v>lflstatus1_s1_a5</v>
          </cell>
          <cell r="D320">
            <v>581650.625</v>
          </cell>
          <cell r="G320">
            <v>6</v>
          </cell>
        </row>
        <row r="321">
          <cell r="A321" t="str">
            <v>BGD</v>
          </cell>
          <cell r="B321">
            <v>2013</v>
          </cell>
          <cell r="C321" t="str">
            <v>lflstatus1_s1_a6</v>
          </cell>
          <cell r="D321">
            <v>3140966.25</v>
          </cell>
          <cell r="G321">
            <v>6</v>
          </cell>
        </row>
        <row r="322">
          <cell r="A322" t="str">
            <v>BGD</v>
          </cell>
          <cell r="B322">
            <v>2013</v>
          </cell>
          <cell r="C322" t="str">
            <v>lfip_total</v>
          </cell>
          <cell r="D322">
            <v>11492.9521484375</v>
          </cell>
          <cell r="G322">
            <v>6</v>
          </cell>
        </row>
        <row r="323">
          <cell r="A323" t="str">
            <v>BGD</v>
          </cell>
          <cell r="B323">
            <v>2013</v>
          </cell>
          <cell r="C323" t="str">
            <v>lfip_s0_a1</v>
          </cell>
          <cell r="D323">
            <v>8323.298828125</v>
          </cell>
          <cell r="G323">
            <v>6</v>
          </cell>
        </row>
        <row r="324">
          <cell r="A324" t="str">
            <v>BGD</v>
          </cell>
          <cell r="B324">
            <v>2013</v>
          </cell>
          <cell r="C324" t="str">
            <v>lfip_s0_a2</v>
          </cell>
          <cell r="D324">
            <v>9857.9482421875</v>
          </cell>
          <cell r="G324">
            <v>6</v>
          </cell>
        </row>
        <row r="325">
          <cell r="A325" t="str">
            <v>BGD</v>
          </cell>
          <cell r="B325">
            <v>2013</v>
          </cell>
          <cell r="C325" t="str">
            <v>lfip_s0_a3</v>
          </cell>
          <cell r="D325">
            <v>11241.5908203125</v>
          </cell>
          <cell r="G325">
            <v>6</v>
          </cell>
        </row>
        <row r="326">
          <cell r="A326" t="str">
            <v>BGD</v>
          </cell>
          <cell r="B326">
            <v>2013</v>
          </cell>
          <cell r="C326" t="str">
            <v>lfip_s0_a4</v>
          </cell>
          <cell r="D326">
            <v>11264.982421875</v>
          </cell>
          <cell r="G326">
            <v>6</v>
          </cell>
        </row>
        <row r="327">
          <cell r="A327" t="str">
            <v>BGD</v>
          </cell>
          <cell r="B327">
            <v>2013</v>
          </cell>
          <cell r="C327" t="str">
            <v>lfip_s0_a5</v>
          </cell>
          <cell r="D327">
            <v>13702.2744140625</v>
          </cell>
          <cell r="G327">
            <v>6</v>
          </cell>
        </row>
        <row r="328">
          <cell r="A328" t="str">
            <v>BGD</v>
          </cell>
          <cell r="B328">
            <v>2013</v>
          </cell>
          <cell r="C328" t="str">
            <v>lfip_s0_a6</v>
          </cell>
          <cell r="D328">
            <v>10587.8779296875</v>
          </cell>
          <cell r="G328">
            <v>6</v>
          </cell>
        </row>
        <row r="329">
          <cell r="A329" t="str">
            <v>BGD</v>
          </cell>
          <cell r="B329">
            <v>2013</v>
          </cell>
          <cell r="C329" t="str">
            <v>lfip_s1_a1</v>
          </cell>
          <cell r="D329">
            <v>9774.9033203125</v>
          </cell>
          <cell r="G329">
            <v>6</v>
          </cell>
        </row>
        <row r="330">
          <cell r="A330" t="str">
            <v>BGD</v>
          </cell>
          <cell r="B330">
            <v>2013</v>
          </cell>
          <cell r="C330" t="str">
            <v>lfip_s1_a2</v>
          </cell>
          <cell r="D330">
            <v>17838.392578125</v>
          </cell>
          <cell r="G330">
            <v>6</v>
          </cell>
        </row>
        <row r="331">
          <cell r="A331" t="str">
            <v>BGD</v>
          </cell>
          <cell r="B331">
            <v>2013</v>
          </cell>
          <cell r="C331" t="str">
            <v>lfip_s1_a3</v>
          </cell>
          <cell r="D331">
            <v>19244.318359375</v>
          </cell>
          <cell r="G331">
            <v>6</v>
          </cell>
        </row>
        <row r="332">
          <cell r="A332" t="str">
            <v>BGD</v>
          </cell>
          <cell r="B332">
            <v>2013</v>
          </cell>
          <cell r="C332" t="str">
            <v>lfip_s1_a4</v>
          </cell>
          <cell r="D332">
            <v>35698.8203125</v>
          </cell>
          <cell r="G332">
            <v>6</v>
          </cell>
        </row>
        <row r="333">
          <cell r="A333" t="str">
            <v>BGD</v>
          </cell>
          <cell r="B333">
            <v>2013</v>
          </cell>
          <cell r="C333" t="str">
            <v>lfip_s1_a5</v>
          </cell>
          <cell r="D333">
            <v>21112.0625</v>
          </cell>
          <cell r="G333">
            <v>6</v>
          </cell>
        </row>
        <row r="334">
          <cell r="A334" t="str">
            <v>BGD</v>
          </cell>
          <cell r="B334">
            <v>2013</v>
          </cell>
          <cell r="C334" t="str">
            <v>lfip_s1_a6</v>
          </cell>
          <cell r="D334">
            <v>16726.619140625</v>
          </cell>
          <cell r="G334">
            <v>6</v>
          </cell>
        </row>
        <row r="335">
          <cell r="A335" t="str">
            <v>BGD</v>
          </cell>
          <cell r="B335">
            <v>2015</v>
          </cell>
          <cell r="C335" t="str">
            <v>lfpop_total</v>
          </cell>
          <cell r="D335">
            <v>158482912</v>
          </cell>
          <cell r="G335">
            <v>6</v>
          </cell>
        </row>
        <row r="336">
          <cell r="A336" t="str">
            <v>BGD</v>
          </cell>
          <cell r="B336">
            <v>2015</v>
          </cell>
          <cell r="C336" t="str">
            <v>lfpop_0014</v>
          </cell>
          <cell r="D336">
            <v>52350832</v>
          </cell>
          <cell r="G336">
            <v>6</v>
          </cell>
        </row>
        <row r="337">
          <cell r="A337" t="str">
            <v>BGD</v>
          </cell>
          <cell r="B337">
            <v>2015</v>
          </cell>
          <cell r="C337" t="str">
            <v>lfpop_15up</v>
          </cell>
          <cell r="D337">
            <v>106132080</v>
          </cell>
          <cell r="G337">
            <v>6</v>
          </cell>
        </row>
        <row r="338">
          <cell r="A338" t="str">
            <v>BGD</v>
          </cell>
          <cell r="B338">
            <v>2015</v>
          </cell>
          <cell r="C338" t="str">
            <v>lfpop_65up</v>
          </cell>
          <cell r="D338">
            <v>7456660</v>
          </cell>
          <cell r="G338">
            <v>6</v>
          </cell>
        </row>
        <row r="339">
          <cell r="A339" t="str">
            <v>BGD</v>
          </cell>
          <cell r="B339">
            <v>2015</v>
          </cell>
          <cell r="C339" t="str">
            <v>lflstatus3_15up</v>
          </cell>
          <cell r="D339">
            <v>44207308</v>
          </cell>
          <cell r="G339">
            <v>6</v>
          </cell>
        </row>
        <row r="340">
          <cell r="A340" t="str">
            <v>BGD</v>
          </cell>
          <cell r="B340">
            <v>2015</v>
          </cell>
          <cell r="C340" t="str">
            <v>lflstatus2_15up</v>
          </cell>
          <cell r="D340">
            <v>2268613</v>
          </cell>
          <cell r="G340">
            <v>6</v>
          </cell>
        </row>
        <row r="341">
          <cell r="A341" t="str">
            <v>BGD</v>
          </cell>
          <cell r="B341">
            <v>2015</v>
          </cell>
          <cell r="C341" t="str">
            <v>lflstatus1_15up</v>
          </cell>
          <cell r="D341">
            <v>59656156</v>
          </cell>
          <cell r="G341">
            <v>6</v>
          </cell>
        </row>
        <row r="342">
          <cell r="A342" t="str">
            <v>BGD</v>
          </cell>
          <cell r="B342">
            <v>2015</v>
          </cell>
          <cell r="C342" t="str">
            <v>lflstatus12_15up</v>
          </cell>
          <cell r="D342">
            <v>61924768</v>
          </cell>
          <cell r="G342">
            <v>6</v>
          </cell>
        </row>
        <row r="343">
          <cell r="A343" t="str">
            <v>BGD</v>
          </cell>
          <cell r="B343">
            <v>2015</v>
          </cell>
          <cell r="C343" t="str">
            <v>lflstatus1_s0_a1</v>
          </cell>
          <cell r="D343">
            <v>5990511.5</v>
          </cell>
          <cell r="G343">
            <v>6</v>
          </cell>
        </row>
        <row r="344">
          <cell r="A344" t="str">
            <v>BGD</v>
          </cell>
          <cell r="B344">
            <v>2015</v>
          </cell>
          <cell r="C344" t="str">
            <v>lflstatus1_s0_a2</v>
          </cell>
          <cell r="D344">
            <v>3172919.75</v>
          </cell>
          <cell r="G344">
            <v>6</v>
          </cell>
        </row>
        <row r="345">
          <cell r="A345" t="str">
            <v>BGD</v>
          </cell>
          <cell r="B345">
            <v>2015</v>
          </cell>
          <cell r="C345" t="str">
            <v>lflstatus1_s0_a3</v>
          </cell>
          <cell r="D345">
            <v>7856141</v>
          </cell>
          <cell r="G345">
            <v>6</v>
          </cell>
        </row>
        <row r="346">
          <cell r="A346" t="str">
            <v>BGD</v>
          </cell>
          <cell r="B346">
            <v>2015</v>
          </cell>
          <cell r="C346" t="str">
            <v>lflstatus1_s0_a4</v>
          </cell>
          <cell r="D346">
            <v>4612262.5</v>
          </cell>
          <cell r="G346">
            <v>6</v>
          </cell>
        </row>
        <row r="347">
          <cell r="A347" t="str">
            <v>BGD</v>
          </cell>
          <cell r="B347">
            <v>2015</v>
          </cell>
          <cell r="C347" t="str">
            <v>lflstatus1_s0_a5</v>
          </cell>
          <cell r="D347">
            <v>548176.375</v>
          </cell>
          <cell r="G347">
            <v>6</v>
          </cell>
        </row>
        <row r="348">
          <cell r="A348" t="str">
            <v>BGD</v>
          </cell>
          <cell r="B348">
            <v>2015</v>
          </cell>
          <cell r="C348" t="str">
            <v>lflstatus1_s0_a6</v>
          </cell>
          <cell r="D348">
            <v>12764639</v>
          </cell>
          <cell r="G348">
            <v>6</v>
          </cell>
        </row>
        <row r="349">
          <cell r="A349" t="str">
            <v>BGD</v>
          </cell>
          <cell r="B349">
            <v>2015</v>
          </cell>
          <cell r="C349" t="str">
            <v>lflstatus1_s1_a1</v>
          </cell>
          <cell r="D349">
            <v>19377780</v>
          </cell>
          <cell r="G349">
            <v>6</v>
          </cell>
        </row>
        <row r="350">
          <cell r="A350" t="str">
            <v>BGD</v>
          </cell>
          <cell r="B350">
            <v>2015</v>
          </cell>
          <cell r="C350" t="str">
            <v>lflstatus1_s1_a2</v>
          </cell>
          <cell r="D350">
            <v>154175.8125</v>
          </cell>
          <cell r="G350">
            <v>6</v>
          </cell>
        </row>
        <row r="351">
          <cell r="A351" t="str">
            <v>BGD</v>
          </cell>
          <cell r="B351">
            <v>2015</v>
          </cell>
          <cell r="C351" t="str">
            <v>lflstatus1_s1_a3</v>
          </cell>
          <cell r="D351">
            <v>831770.4375</v>
          </cell>
          <cell r="G351">
            <v>6</v>
          </cell>
        </row>
        <row r="352">
          <cell r="A352" t="str">
            <v>BGD</v>
          </cell>
          <cell r="B352">
            <v>2015</v>
          </cell>
          <cell r="C352" t="str">
            <v>lflstatus1_s1_a4</v>
          </cell>
          <cell r="D352">
            <v>165100.328125</v>
          </cell>
          <cell r="G352">
            <v>6</v>
          </cell>
        </row>
        <row r="353">
          <cell r="A353" t="str">
            <v>BGD</v>
          </cell>
          <cell r="B353">
            <v>2015</v>
          </cell>
          <cell r="C353" t="str">
            <v>lflstatus1_s1_a5</v>
          </cell>
          <cell r="D353">
            <v>599908.9375</v>
          </cell>
          <cell r="G353">
            <v>6</v>
          </cell>
        </row>
        <row r="354">
          <cell r="A354" t="str">
            <v>BGD</v>
          </cell>
          <cell r="B354">
            <v>2015</v>
          </cell>
          <cell r="C354" t="str">
            <v>lflstatus1_s1_a6</v>
          </cell>
          <cell r="D354">
            <v>3582769.75</v>
          </cell>
          <cell r="G354">
            <v>6</v>
          </cell>
        </row>
        <row r="355">
          <cell r="A355" t="str">
            <v>BGD</v>
          </cell>
          <cell r="B355">
            <v>2015</v>
          </cell>
          <cell r="C355" t="str">
            <v>lfip_total</v>
          </cell>
          <cell r="D355">
            <v>12714.9091796875</v>
          </cell>
          <cell r="G355">
            <v>6</v>
          </cell>
        </row>
        <row r="356">
          <cell r="A356" t="str">
            <v>BGD</v>
          </cell>
          <cell r="B356">
            <v>2015</v>
          </cell>
          <cell r="C356" t="str">
            <v>lfip_s0_a1</v>
          </cell>
          <cell r="D356">
            <v>9156.154296875</v>
          </cell>
          <cell r="G356">
            <v>6</v>
          </cell>
        </row>
        <row r="357">
          <cell r="A357" t="str">
            <v>BGD</v>
          </cell>
          <cell r="B357">
            <v>2015</v>
          </cell>
          <cell r="C357" t="str">
            <v>lfip_s0_a2</v>
          </cell>
          <cell r="D357">
            <v>11320.9833984375</v>
          </cell>
          <cell r="G357">
            <v>6</v>
          </cell>
        </row>
        <row r="358">
          <cell r="A358" t="str">
            <v>BGD</v>
          </cell>
          <cell r="B358">
            <v>2015</v>
          </cell>
          <cell r="C358" t="str">
            <v>lfip_s0_a3</v>
          </cell>
          <cell r="D358">
            <v>11384.4306640625</v>
          </cell>
          <cell r="G358">
            <v>6</v>
          </cell>
        </row>
        <row r="359">
          <cell r="A359" t="str">
            <v>BGD</v>
          </cell>
          <cell r="B359">
            <v>2015</v>
          </cell>
          <cell r="C359" t="str">
            <v>lfip_s0_a4</v>
          </cell>
          <cell r="D359">
            <v>11450.3701171875</v>
          </cell>
          <cell r="G359">
            <v>6</v>
          </cell>
        </row>
        <row r="360">
          <cell r="A360" t="str">
            <v>BGD</v>
          </cell>
          <cell r="B360">
            <v>2015</v>
          </cell>
          <cell r="C360" t="str">
            <v>lfip_s0_a5</v>
          </cell>
          <cell r="D360">
            <v>16513.61328125</v>
          </cell>
          <cell r="G360">
            <v>6</v>
          </cell>
        </row>
        <row r="361">
          <cell r="A361" t="str">
            <v>BGD</v>
          </cell>
          <cell r="B361">
            <v>2015</v>
          </cell>
          <cell r="C361" t="str">
            <v>lfip_s0_a6</v>
          </cell>
          <cell r="D361">
            <v>11908.1845703125</v>
          </cell>
          <cell r="G361">
            <v>6</v>
          </cell>
        </row>
        <row r="362">
          <cell r="A362" t="str">
            <v>BGD</v>
          </cell>
          <cell r="B362">
            <v>2015</v>
          </cell>
          <cell r="C362" t="str">
            <v>lfip_s1_a1</v>
          </cell>
          <cell r="D362">
            <v>9002.8056640625</v>
          </cell>
          <cell r="G362">
            <v>6</v>
          </cell>
        </row>
        <row r="363">
          <cell r="A363" t="str">
            <v>BGD</v>
          </cell>
          <cell r="B363">
            <v>2015</v>
          </cell>
          <cell r="C363" t="str">
            <v>lfip_s1_a2</v>
          </cell>
          <cell r="D363">
            <v>19279.48046875</v>
          </cell>
          <cell r="G363">
            <v>6</v>
          </cell>
        </row>
        <row r="364">
          <cell r="A364" t="str">
            <v>BGD</v>
          </cell>
          <cell r="B364">
            <v>2015</v>
          </cell>
          <cell r="C364" t="str">
            <v>lfip_s1_a3</v>
          </cell>
          <cell r="D364">
            <v>20839.12109375</v>
          </cell>
          <cell r="G364">
            <v>6</v>
          </cell>
        </row>
        <row r="365">
          <cell r="A365" t="str">
            <v>BGD</v>
          </cell>
          <cell r="B365">
            <v>2015</v>
          </cell>
          <cell r="C365" t="str">
            <v>lfip_s1_a4</v>
          </cell>
          <cell r="D365">
            <v>31058.23046875</v>
          </cell>
          <cell r="G365">
            <v>6</v>
          </cell>
        </row>
        <row r="366">
          <cell r="A366" t="str">
            <v>BGD</v>
          </cell>
          <cell r="B366">
            <v>2015</v>
          </cell>
          <cell r="C366" t="str">
            <v>lfip_s1_a5</v>
          </cell>
          <cell r="D366">
            <v>28637.17578125</v>
          </cell>
          <cell r="G366">
            <v>6</v>
          </cell>
        </row>
        <row r="367">
          <cell r="A367" t="str">
            <v>BGD</v>
          </cell>
          <cell r="B367">
            <v>2015</v>
          </cell>
          <cell r="C367" t="str">
            <v>lfip_s1_a6</v>
          </cell>
          <cell r="D367">
            <v>20280.744140625</v>
          </cell>
          <cell r="G367">
            <v>6</v>
          </cell>
        </row>
        <row r="368">
          <cell r="A368" t="str">
            <v>BGD</v>
          </cell>
          <cell r="B368">
            <v>2016</v>
          </cell>
          <cell r="C368" t="str">
            <v>lfpop_total</v>
          </cell>
          <cell r="D368">
            <v>161338496</v>
          </cell>
          <cell r="G368">
            <v>6</v>
          </cell>
        </row>
        <row r="369">
          <cell r="A369" t="str">
            <v>BGD</v>
          </cell>
          <cell r="B369">
            <v>2016</v>
          </cell>
          <cell r="C369" t="str">
            <v>lfpop_0014</v>
          </cell>
          <cell r="D369">
            <v>52284868</v>
          </cell>
          <cell r="G369">
            <v>6</v>
          </cell>
        </row>
        <row r="370">
          <cell r="A370" t="str">
            <v>BGD</v>
          </cell>
          <cell r="B370">
            <v>2016</v>
          </cell>
          <cell r="C370" t="str">
            <v>lfpop_15up</v>
          </cell>
          <cell r="D370">
            <v>109053624</v>
          </cell>
          <cell r="G370">
            <v>6</v>
          </cell>
        </row>
        <row r="371">
          <cell r="A371" t="str">
            <v>BGD</v>
          </cell>
          <cell r="B371">
            <v>2016</v>
          </cell>
          <cell r="C371" t="str">
            <v>lfpop_65up</v>
          </cell>
          <cell r="D371">
            <v>7915245</v>
          </cell>
          <cell r="G371">
            <v>6</v>
          </cell>
        </row>
        <row r="372">
          <cell r="A372" t="str">
            <v>BGD</v>
          </cell>
          <cell r="B372">
            <v>2016</v>
          </cell>
          <cell r="C372" t="str">
            <v>lflstatus3_15up</v>
          </cell>
          <cell r="D372">
            <v>45229800</v>
          </cell>
          <cell r="G372">
            <v>6</v>
          </cell>
        </row>
        <row r="373">
          <cell r="A373" t="str">
            <v>BGD</v>
          </cell>
          <cell r="B373">
            <v>2016</v>
          </cell>
          <cell r="C373" t="str">
            <v>lflstatus2_15up</v>
          </cell>
          <cell r="D373">
            <v>2676684.75</v>
          </cell>
          <cell r="G373">
            <v>6</v>
          </cell>
        </row>
        <row r="374">
          <cell r="A374" t="str">
            <v>BGD</v>
          </cell>
          <cell r="B374">
            <v>2016</v>
          </cell>
          <cell r="C374" t="str">
            <v>lflstatus1_15up</v>
          </cell>
          <cell r="D374">
            <v>61147140</v>
          </cell>
          <cell r="G374">
            <v>6</v>
          </cell>
        </row>
        <row r="375">
          <cell r="A375" t="str">
            <v>BGD</v>
          </cell>
          <cell r="B375">
            <v>2016</v>
          </cell>
          <cell r="C375" t="str">
            <v>lflstatus12_15up</v>
          </cell>
          <cell r="D375">
            <v>63823824</v>
          </cell>
          <cell r="G375">
            <v>6</v>
          </cell>
        </row>
        <row r="376">
          <cell r="A376" t="str">
            <v>BGD</v>
          </cell>
          <cell r="B376">
            <v>2016</v>
          </cell>
          <cell r="C376" t="str">
            <v>lflstatus1_s0_a1</v>
          </cell>
          <cell r="D376">
            <v>5412589.5</v>
          </cell>
          <cell r="G376">
            <v>6</v>
          </cell>
        </row>
        <row r="377">
          <cell r="A377" t="str">
            <v>BGD</v>
          </cell>
          <cell r="B377">
            <v>2016</v>
          </cell>
          <cell r="C377" t="str">
            <v>lflstatus1_s0_a2</v>
          </cell>
          <cell r="D377">
            <v>3277550.25</v>
          </cell>
          <cell r="G377">
            <v>6</v>
          </cell>
        </row>
        <row r="378">
          <cell r="A378" t="str">
            <v>BGD</v>
          </cell>
          <cell r="B378">
            <v>2016</v>
          </cell>
          <cell r="C378" t="str">
            <v>lflstatus1_s0_a3</v>
          </cell>
          <cell r="D378">
            <v>7973518.5</v>
          </cell>
          <cell r="G378">
            <v>6</v>
          </cell>
        </row>
        <row r="379">
          <cell r="A379" t="str">
            <v>BGD</v>
          </cell>
          <cell r="B379">
            <v>2016</v>
          </cell>
          <cell r="C379" t="str">
            <v>lflstatus1_s0_a4</v>
          </cell>
          <cell r="D379">
            <v>5250128.5</v>
          </cell>
          <cell r="G379">
            <v>6</v>
          </cell>
        </row>
        <row r="380">
          <cell r="A380" t="str">
            <v>BGD</v>
          </cell>
          <cell r="B380">
            <v>2016</v>
          </cell>
          <cell r="C380" t="str">
            <v>lflstatus1_s0_a5</v>
          </cell>
          <cell r="D380">
            <v>547446.5</v>
          </cell>
          <cell r="G380">
            <v>6</v>
          </cell>
        </row>
        <row r="381">
          <cell r="A381" t="str">
            <v>BGD</v>
          </cell>
          <cell r="B381">
            <v>2016</v>
          </cell>
          <cell r="C381" t="str">
            <v>lflstatus1_s0_a6</v>
          </cell>
          <cell r="D381">
            <v>13928847</v>
          </cell>
          <cell r="G381">
            <v>6</v>
          </cell>
        </row>
        <row r="382">
          <cell r="A382" t="str">
            <v>BGD</v>
          </cell>
          <cell r="B382">
            <v>2016</v>
          </cell>
          <cell r="C382" t="str">
            <v>lflstatus1_s1_a1</v>
          </cell>
          <cell r="D382">
            <v>19291128</v>
          </cell>
          <cell r="G382">
            <v>6</v>
          </cell>
        </row>
        <row r="383">
          <cell r="A383" t="str">
            <v>BGD</v>
          </cell>
          <cell r="B383">
            <v>2016</v>
          </cell>
          <cell r="C383" t="str">
            <v>lflstatus1_s1_a2</v>
          </cell>
          <cell r="D383">
            <v>158926.21875</v>
          </cell>
          <cell r="G383">
            <v>6</v>
          </cell>
        </row>
        <row r="384">
          <cell r="A384" t="str">
            <v>BGD</v>
          </cell>
          <cell r="B384">
            <v>2016</v>
          </cell>
          <cell r="C384" t="str">
            <v>lflstatus1_s1_a3</v>
          </cell>
          <cell r="D384">
            <v>900652.3125</v>
          </cell>
          <cell r="G384">
            <v>6</v>
          </cell>
        </row>
        <row r="385">
          <cell r="A385" t="str">
            <v>BGD</v>
          </cell>
          <cell r="B385">
            <v>2016</v>
          </cell>
          <cell r="C385" t="str">
            <v>lflstatus1_s1_a4</v>
          </cell>
          <cell r="D385">
            <v>158468.234375</v>
          </cell>
          <cell r="G385">
            <v>6</v>
          </cell>
        </row>
        <row r="386">
          <cell r="A386" t="str">
            <v>BGD</v>
          </cell>
          <cell r="B386">
            <v>2016</v>
          </cell>
          <cell r="C386" t="str">
            <v>lflstatus1_s1_a5</v>
          </cell>
          <cell r="D386">
            <v>605896.3125</v>
          </cell>
          <cell r="G386">
            <v>6</v>
          </cell>
        </row>
        <row r="387">
          <cell r="A387" t="str">
            <v>BGD</v>
          </cell>
          <cell r="B387">
            <v>2016</v>
          </cell>
          <cell r="C387" t="str">
            <v>lflstatus1_s1_a6</v>
          </cell>
          <cell r="D387">
            <v>3641989.5</v>
          </cell>
          <cell r="G387">
            <v>6</v>
          </cell>
        </row>
        <row r="388">
          <cell r="A388" t="str">
            <v>BGD</v>
          </cell>
          <cell r="B388">
            <v>2016</v>
          </cell>
          <cell r="C388" t="str">
            <v>lfip_total</v>
          </cell>
          <cell r="D388">
            <v>12960.4443359375</v>
          </cell>
          <cell r="G388">
            <v>6</v>
          </cell>
        </row>
        <row r="389">
          <cell r="A389" t="str">
            <v>BGD</v>
          </cell>
          <cell r="B389">
            <v>2016</v>
          </cell>
          <cell r="C389" t="str">
            <v>lfip_s0_a1</v>
          </cell>
          <cell r="D389">
            <v>8546.6611328125</v>
          </cell>
          <cell r="G389">
            <v>6</v>
          </cell>
        </row>
        <row r="390">
          <cell r="A390" t="str">
            <v>BGD</v>
          </cell>
          <cell r="B390">
            <v>2016</v>
          </cell>
          <cell r="C390" t="str">
            <v>lfip_s0_a2</v>
          </cell>
          <cell r="D390">
            <v>9530.6884765625</v>
          </cell>
          <cell r="G390">
            <v>6</v>
          </cell>
        </row>
        <row r="391">
          <cell r="A391" t="str">
            <v>BGD</v>
          </cell>
          <cell r="B391">
            <v>2016</v>
          </cell>
          <cell r="C391" t="str">
            <v>lfip_s0_a3</v>
          </cell>
          <cell r="D391">
            <v>10502.4013671875</v>
          </cell>
          <cell r="G391">
            <v>6</v>
          </cell>
        </row>
        <row r="392">
          <cell r="A392" t="str">
            <v>BGD</v>
          </cell>
          <cell r="B392">
            <v>2016</v>
          </cell>
          <cell r="C392" t="str">
            <v>lfip_s0_a4</v>
          </cell>
          <cell r="D392">
            <v>11063.3486328125</v>
          </cell>
          <cell r="G392">
            <v>6</v>
          </cell>
        </row>
        <row r="393">
          <cell r="A393" t="str">
            <v>BGD</v>
          </cell>
          <cell r="B393">
            <v>2016</v>
          </cell>
          <cell r="C393" t="str">
            <v>lfip_s0_a5</v>
          </cell>
          <cell r="D393">
            <v>13900.4287109375</v>
          </cell>
          <cell r="G393">
            <v>6</v>
          </cell>
        </row>
        <row r="394">
          <cell r="A394" t="str">
            <v>BGD</v>
          </cell>
          <cell r="B394">
            <v>2016</v>
          </cell>
          <cell r="C394" t="str">
            <v>lfip_s0_a6</v>
          </cell>
          <cell r="D394">
            <v>11507.60546875</v>
          </cell>
          <cell r="G394">
            <v>6</v>
          </cell>
        </row>
        <row r="395">
          <cell r="A395" t="str">
            <v>BGD</v>
          </cell>
          <cell r="B395">
            <v>2016</v>
          </cell>
          <cell r="C395" t="str">
            <v>lfip_s1_a1</v>
          </cell>
          <cell r="D395">
            <v>8247.0869140625</v>
          </cell>
          <cell r="G395">
            <v>6</v>
          </cell>
        </row>
        <row r="396">
          <cell r="A396" t="str">
            <v>BGD</v>
          </cell>
          <cell r="B396">
            <v>2016</v>
          </cell>
          <cell r="C396" t="str">
            <v>lfip_s1_a2</v>
          </cell>
          <cell r="D396">
            <v>21097.0234375</v>
          </cell>
          <cell r="G396">
            <v>6</v>
          </cell>
        </row>
        <row r="397">
          <cell r="A397" t="str">
            <v>BGD</v>
          </cell>
          <cell r="B397">
            <v>2016</v>
          </cell>
          <cell r="C397" t="str">
            <v>lfip_s1_a3</v>
          </cell>
          <cell r="D397">
            <v>24693.39453125</v>
          </cell>
          <cell r="G397">
            <v>6</v>
          </cell>
        </row>
        <row r="398">
          <cell r="A398" t="str">
            <v>BGD</v>
          </cell>
          <cell r="B398">
            <v>2016</v>
          </cell>
          <cell r="C398" t="str">
            <v>lfip_s1_a4</v>
          </cell>
          <cell r="D398">
            <v>30329.92578125</v>
          </cell>
          <cell r="G398">
            <v>6</v>
          </cell>
        </row>
        <row r="399">
          <cell r="A399" t="str">
            <v>BGD</v>
          </cell>
          <cell r="B399">
            <v>2016</v>
          </cell>
          <cell r="C399" t="str">
            <v>lfip_s1_a5</v>
          </cell>
          <cell r="D399">
            <v>37688.53515625</v>
          </cell>
          <cell r="G399">
            <v>6</v>
          </cell>
        </row>
        <row r="400">
          <cell r="A400" t="str">
            <v>BGD</v>
          </cell>
          <cell r="B400">
            <v>2016</v>
          </cell>
          <cell r="C400" t="str">
            <v>lfip_s1_a6</v>
          </cell>
          <cell r="D400">
            <v>25876.6953125</v>
          </cell>
          <cell r="G400">
            <v>6</v>
          </cell>
        </row>
        <row r="401">
          <cell r="A401" t="str">
            <v>BGD</v>
          </cell>
          <cell r="B401">
            <v>2022</v>
          </cell>
          <cell r="C401" t="str">
            <v>lfpop_total</v>
          </cell>
          <cell r="D401">
            <v>169777296</v>
          </cell>
          <cell r="G401">
            <v>6</v>
          </cell>
        </row>
        <row r="402">
          <cell r="A402" t="str">
            <v>BGD</v>
          </cell>
          <cell r="B402">
            <v>2022</v>
          </cell>
          <cell r="C402" t="str">
            <v>lfpop_0014</v>
          </cell>
          <cell r="D402">
            <v>50448260</v>
          </cell>
          <cell r="G402">
            <v>6</v>
          </cell>
        </row>
        <row r="403">
          <cell r="A403" t="str">
            <v>BGD</v>
          </cell>
          <cell r="B403">
            <v>2022</v>
          </cell>
          <cell r="C403" t="str">
            <v>lfpop_15up</v>
          </cell>
          <cell r="D403">
            <v>119329040</v>
          </cell>
          <cell r="G403">
            <v>6</v>
          </cell>
        </row>
        <row r="404">
          <cell r="A404" t="str">
            <v>BGD</v>
          </cell>
          <cell r="B404">
            <v>2022</v>
          </cell>
          <cell r="C404" t="str">
            <v>lfpop_65up</v>
          </cell>
          <cell r="D404">
            <v>8621047</v>
          </cell>
          <cell r="G404">
            <v>6</v>
          </cell>
        </row>
        <row r="405">
          <cell r="A405" t="str">
            <v>BGD</v>
          </cell>
          <cell r="B405">
            <v>2022</v>
          </cell>
          <cell r="C405" t="str">
            <v>lflstatus3_15up</v>
          </cell>
          <cell r="D405">
            <v>46270824</v>
          </cell>
          <cell r="G405">
            <v>6</v>
          </cell>
        </row>
        <row r="406">
          <cell r="A406" t="str">
            <v>BGD</v>
          </cell>
          <cell r="B406">
            <v>2022</v>
          </cell>
          <cell r="C406" t="str">
            <v>lflstatus2_15up</v>
          </cell>
          <cell r="D406">
            <v>2595568</v>
          </cell>
          <cell r="G406">
            <v>6</v>
          </cell>
        </row>
        <row r="407">
          <cell r="A407" t="str">
            <v>BGD</v>
          </cell>
          <cell r="B407">
            <v>2022</v>
          </cell>
          <cell r="C407" t="str">
            <v>lflstatus1_15up</v>
          </cell>
          <cell r="D407">
            <v>70462648</v>
          </cell>
          <cell r="G407">
            <v>6</v>
          </cell>
        </row>
        <row r="408">
          <cell r="A408" t="str">
            <v>BGD</v>
          </cell>
          <cell r="B408">
            <v>2022</v>
          </cell>
          <cell r="C408" t="str">
            <v>lflstatus12_15up</v>
          </cell>
          <cell r="D408">
            <v>73058216</v>
          </cell>
          <cell r="G408">
            <v>6</v>
          </cell>
        </row>
        <row r="409">
          <cell r="A409" t="str">
            <v>BGD</v>
          </cell>
          <cell r="B409">
            <v>2022</v>
          </cell>
          <cell r="C409" t="str">
            <v>lflstatus1_s0_a1</v>
          </cell>
          <cell r="D409">
            <v>15793763</v>
          </cell>
          <cell r="G409">
            <v>6</v>
          </cell>
        </row>
        <row r="410">
          <cell r="A410" t="str">
            <v>BGD</v>
          </cell>
          <cell r="B410">
            <v>2022</v>
          </cell>
          <cell r="C410" t="str">
            <v>lflstatus1_s0_a2</v>
          </cell>
          <cell r="D410">
            <v>3626202.75</v>
          </cell>
          <cell r="G410">
            <v>6</v>
          </cell>
        </row>
        <row r="411">
          <cell r="A411" t="str">
            <v>BGD</v>
          </cell>
          <cell r="B411">
            <v>2022</v>
          </cell>
          <cell r="C411" t="str">
            <v>lflstatus1_s0_a3</v>
          </cell>
          <cell r="D411">
            <v>7154953.5</v>
          </cell>
          <cell r="G411">
            <v>6</v>
          </cell>
        </row>
        <row r="412">
          <cell r="A412" t="str">
            <v>BGD</v>
          </cell>
          <cell r="B412">
            <v>2022</v>
          </cell>
          <cell r="C412" t="str">
            <v>lflstatus1_s0_a4</v>
          </cell>
          <cell r="D412">
            <v>5829453.5</v>
          </cell>
          <cell r="G412">
            <v>6</v>
          </cell>
        </row>
        <row r="413">
          <cell r="A413" t="str">
            <v>BGD</v>
          </cell>
          <cell r="B413">
            <v>2022</v>
          </cell>
          <cell r="C413" t="str">
            <v>lflstatus1_s0_a5</v>
          </cell>
          <cell r="D413">
            <v>1059425.25</v>
          </cell>
          <cell r="G413">
            <v>6</v>
          </cell>
        </row>
        <row r="414">
          <cell r="A414" t="str">
            <v>BGD</v>
          </cell>
          <cell r="B414">
            <v>2022</v>
          </cell>
          <cell r="C414" t="str">
            <v>lflstatus1_s0_a6</v>
          </cell>
          <cell r="D414">
            <v>15291152</v>
          </cell>
          <cell r="G414">
            <v>6</v>
          </cell>
        </row>
        <row r="415">
          <cell r="A415" t="str">
            <v>BGD</v>
          </cell>
          <cell r="B415">
            <v>2022</v>
          </cell>
          <cell r="C415" t="str">
            <v>lflstatus1_s1_a1</v>
          </cell>
          <cell r="D415">
            <v>13217936</v>
          </cell>
          <cell r="G415">
            <v>6</v>
          </cell>
        </row>
        <row r="416">
          <cell r="A416" t="str">
            <v>BGD</v>
          </cell>
          <cell r="B416">
            <v>2022</v>
          </cell>
          <cell r="C416" t="str">
            <v>lflstatus1_s1_a2</v>
          </cell>
          <cell r="D416">
            <v>204764.34375</v>
          </cell>
          <cell r="G416">
            <v>6</v>
          </cell>
        </row>
        <row r="417">
          <cell r="A417" t="str">
            <v>BGD</v>
          </cell>
          <cell r="B417">
            <v>2022</v>
          </cell>
          <cell r="C417" t="str">
            <v>lflstatus1_s1_a3</v>
          </cell>
          <cell r="D417">
            <v>832407.5</v>
          </cell>
          <cell r="G417">
            <v>6</v>
          </cell>
        </row>
        <row r="418">
          <cell r="A418" t="str">
            <v>BGD</v>
          </cell>
          <cell r="B418">
            <v>2022</v>
          </cell>
          <cell r="C418" t="str">
            <v>lflstatus1_s1_a4</v>
          </cell>
          <cell r="D418">
            <v>164844.78125</v>
          </cell>
          <cell r="G418">
            <v>6</v>
          </cell>
        </row>
        <row r="419">
          <cell r="A419" t="str">
            <v>BGD</v>
          </cell>
          <cell r="B419">
            <v>2022</v>
          </cell>
          <cell r="C419" t="str">
            <v>lflstatus1_s1_a5</v>
          </cell>
          <cell r="D419">
            <v>551831.4375</v>
          </cell>
          <cell r="G419">
            <v>6</v>
          </cell>
        </row>
        <row r="420">
          <cell r="A420" t="str">
            <v>BGD</v>
          </cell>
          <cell r="B420">
            <v>2022</v>
          </cell>
          <cell r="C420" t="str">
            <v>lflstatus1_s1_a6</v>
          </cell>
          <cell r="D420">
            <v>6735915.5</v>
          </cell>
          <cell r="G420">
            <v>6</v>
          </cell>
        </row>
        <row r="421">
          <cell r="A421" t="str">
            <v>BGD</v>
          </cell>
          <cell r="B421">
            <v>2022</v>
          </cell>
          <cell r="C421" t="str">
            <v>lfip_total</v>
          </cell>
          <cell r="D421">
            <v>13200.138671875</v>
          </cell>
          <cell r="G421">
            <v>6</v>
          </cell>
        </row>
        <row r="422">
          <cell r="A422" t="str">
            <v>BGD</v>
          </cell>
          <cell r="B422">
            <v>2022</v>
          </cell>
          <cell r="C422" t="str">
            <v>lfip_s0_a1</v>
          </cell>
          <cell r="D422">
            <v>8755.2080078125</v>
          </cell>
          <cell r="G422">
            <v>6</v>
          </cell>
        </row>
        <row r="423">
          <cell r="A423" t="str">
            <v>BGD</v>
          </cell>
          <cell r="B423">
            <v>2022</v>
          </cell>
          <cell r="C423" t="str">
            <v>lfip_s0_a2</v>
          </cell>
          <cell r="D423">
            <v>11062.37109375</v>
          </cell>
          <cell r="G423">
            <v>6</v>
          </cell>
        </row>
        <row r="424">
          <cell r="A424" t="str">
            <v>BGD</v>
          </cell>
          <cell r="B424">
            <v>2022</v>
          </cell>
          <cell r="C424" t="str">
            <v>lfip_s0_a3</v>
          </cell>
          <cell r="D424">
            <v>12854.2177734375</v>
          </cell>
          <cell r="G424">
            <v>6</v>
          </cell>
        </row>
        <row r="425">
          <cell r="A425" t="str">
            <v>BGD</v>
          </cell>
          <cell r="B425">
            <v>2022</v>
          </cell>
          <cell r="C425" t="str">
            <v>lfip_s0_a4</v>
          </cell>
          <cell r="D425">
            <v>12510.513671875</v>
          </cell>
          <cell r="G425">
            <v>6</v>
          </cell>
        </row>
        <row r="426">
          <cell r="A426" t="str">
            <v>BGD</v>
          </cell>
          <cell r="B426">
            <v>2022</v>
          </cell>
          <cell r="C426" t="str">
            <v>lfip_s0_a5</v>
          </cell>
          <cell r="D426">
            <v>18951.625</v>
          </cell>
          <cell r="G426">
            <v>6</v>
          </cell>
        </row>
        <row r="427">
          <cell r="A427" t="str">
            <v>BGD</v>
          </cell>
          <cell r="B427">
            <v>2022</v>
          </cell>
          <cell r="C427" t="str">
            <v>lfip_s0_a6</v>
          </cell>
          <cell r="D427">
            <v>13244.9033203125</v>
          </cell>
          <cell r="G427">
            <v>6</v>
          </cell>
        </row>
        <row r="428">
          <cell r="A428" t="str">
            <v>BGD</v>
          </cell>
          <cell r="B428">
            <v>2022</v>
          </cell>
          <cell r="C428" t="str">
            <v>lfip_s1_a1</v>
          </cell>
          <cell r="D428">
            <v>8550.0966796875</v>
          </cell>
          <cell r="G428">
            <v>6</v>
          </cell>
        </row>
        <row r="429">
          <cell r="A429" t="str">
            <v>BGD</v>
          </cell>
          <cell r="B429">
            <v>2022</v>
          </cell>
          <cell r="C429" t="str">
            <v>lfip_s1_a2</v>
          </cell>
          <cell r="D429">
            <v>22679.244140625</v>
          </cell>
          <cell r="G429">
            <v>6</v>
          </cell>
        </row>
        <row r="430">
          <cell r="A430" t="str">
            <v>BGD</v>
          </cell>
          <cell r="B430">
            <v>2022</v>
          </cell>
          <cell r="C430" t="str">
            <v>lfip_s1_a3</v>
          </cell>
          <cell r="D430">
            <v>23749.5625</v>
          </cell>
          <cell r="G430">
            <v>6</v>
          </cell>
        </row>
        <row r="431">
          <cell r="A431" t="str">
            <v>BGD</v>
          </cell>
          <cell r="B431">
            <v>2022</v>
          </cell>
          <cell r="C431" t="str">
            <v>lfip_s1_a4</v>
          </cell>
          <cell r="D431">
            <v>26814.138671875</v>
          </cell>
          <cell r="G431">
            <v>6</v>
          </cell>
        </row>
        <row r="432">
          <cell r="A432" t="str">
            <v>BGD</v>
          </cell>
          <cell r="B432">
            <v>2022</v>
          </cell>
          <cell r="C432" t="str">
            <v>lfip_s1_a5</v>
          </cell>
          <cell r="D432">
            <v>30522.552734375</v>
          </cell>
          <cell r="G432">
            <v>6</v>
          </cell>
        </row>
        <row r="433">
          <cell r="A433" t="str">
            <v>BGD</v>
          </cell>
          <cell r="B433">
            <v>2022</v>
          </cell>
          <cell r="C433" t="str">
            <v>lfip_s1_a6</v>
          </cell>
          <cell r="D433">
            <v>19062.375</v>
          </cell>
          <cell r="G433">
            <v>6</v>
          </cell>
        </row>
      </sheetData>
      <sheetData sheetId="2">
        <row r="1">
          <cell r="A1" t="str">
            <v>country</v>
          </cell>
          <cell r="B1" t="str">
            <v>period</v>
          </cell>
          <cell r="C1" t="str">
            <v>year</v>
          </cell>
          <cell r="D1" t="str">
            <v>model</v>
          </cell>
          <cell r="E1" t="str">
            <v>elasticity</v>
          </cell>
          <cell r="F1" t="str">
            <v>value</v>
          </cell>
          <cell r="G1" t="str">
            <v>nsectors</v>
          </cell>
        </row>
        <row r="2">
          <cell r="A2" t="str">
            <v>BGD</v>
          </cell>
          <cell r="B2" t="str">
            <v>Long</v>
          </cell>
          <cell r="C2" t="str">
            <v>2005 - 2022</v>
          </cell>
          <cell r="D2" t="str">
            <v>avg</v>
          </cell>
          <cell r="E2" t="str">
            <v>lfls12_S0_A0</v>
          </cell>
          <cell r="F2">
            <v>0.34328985214233398</v>
          </cell>
          <cell r="G2">
            <v>3</v>
          </cell>
        </row>
        <row r="3">
          <cell r="A3" t="str">
            <v>BGD</v>
          </cell>
          <cell r="B3" t="str">
            <v>Long</v>
          </cell>
          <cell r="C3" t="str">
            <v>2005 - 2022</v>
          </cell>
          <cell r="D3" t="str">
            <v>avg</v>
          </cell>
          <cell r="E3" t="str">
            <v>lfls1_S0_A0</v>
          </cell>
          <cell r="F3">
            <v>0.33396664261817932</v>
          </cell>
          <cell r="G3">
            <v>3</v>
          </cell>
        </row>
        <row r="4">
          <cell r="A4" t="str">
            <v>BGD</v>
          </cell>
          <cell r="B4" t="str">
            <v>Long</v>
          </cell>
          <cell r="C4" t="str">
            <v>2005 - 2022</v>
          </cell>
          <cell r="D4" t="str">
            <v>avg</v>
          </cell>
          <cell r="E4" t="str">
            <v>lfls1_S0_a1</v>
          </cell>
          <cell r="F4">
            <v>0.30467352271080017</v>
          </cell>
          <cell r="G4">
            <v>3</v>
          </cell>
        </row>
        <row r="5">
          <cell r="A5" t="str">
            <v>BGD</v>
          </cell>
          <cell r="B5" t="str">
            <v>Long</v>
          </cell>
          <cell r="C5" t="str">
            <v>2005 - 2022</v>
          </cell>
          <cell r="D5" t="str">
            <v>avg</v>
          </cell>
          <cell r="E5" t="str">
            <v>lfls1_S0_a2</v>
          </cell>
          <cell r="F5">
            <v>0.36990603804588318</v>
          </cell>
          <cell r="G5">
            <v>3</v>
          </cell>
        </row>
        <row r="6">
          <cell r="A6" t="str">
            <v>BGD</v>
          </cell>
          <cell r="B6" t="str">
            <v>Long</v>
          </cell>
          <cell r="C6" t="str">
            <v>2005 - 2022</v>
          </cell>
          <cell r="D6" t="str">
            <v>avg</v>
          </cell>
          <cell r="E6" t="str">
            <v>lfls1_S0_a3</v>
          </cell>
          <cell r="F6">
            <v>0.63533174991607666</v>
          </cell>
          <cell r="G6">
            <v>3</v>
          </cell>
        </row>
        <row r="7">
          <cell r="A7" t="str">
            <v>BGD</v>
          </cell>
          <cell r="B7" t="str">
            <v>Long</v>
          </cell>
          <cell r="C7" t="str">
            <v>2005 - 2022</v>
          </cell>
          <cell r="D7" t="str">
            <v>avg</v>
          </cell>
          <cell r="E7" t="str">
            <v>lfls1_s0_A0</v>
          </cell>
          <cell r="F7">
            <v>0.42584553360939026</v>
          </cell>
          <cell r="G7">
            <v>3</v>
          </cell>
        </row>
        <row r="8">
          <cell r="A8" t="str">
            <v>BGD</v>
          </cell>
          <cell r="B8" t="str">
            <v>Long</v>
          </cell>
          <cell r="C8" t="str">
            <v>2005 - 2022</v>
          </cell>
          <cell r="D8" t="str">
            <v>avg</v>
          </cell>
          <cell r="E8" t="str">
            <v>lfls1_s0_a1</v>
          </cell>
          <cell r="F8">
            <v>2.3513119220733643</v>
          </cell>
          <cell r="G8">
            <v>3</v>
          </cell>
        </row>
        <row r="9">
          <cell r="A9" t="str">
            <v>BGD</v>
          </cell>
          <cell r="B9" t="str">
            <v>Long</v>
          </cell>
          <cell r="C9" t="str">
            <v>2005 - 2022</v>
          </cell>
          <cell r="D9" t="str">
            <v>avg</v>
          </cell>
          <cell r="E9" t="str">
            <v>lfls1_s0_a2</v>
          </cell>
          <cell r="F9">
            <v>0.33621832728385925</v>
          </cell>
          <cell r="G9">
            <v>3</v>
          </cell>
        </row>
        <row r="10">
          <cell r="A10" t="str">
            <v>BGD</v>
          </cell>
          <cell r="B10" t="str">
            <v>Long</v>
          </cell>
          <cell r="C10" t="str">
            <v>2005 - 2022</v>
          </cell>
          <cell r="D10" t="str">
            <v>avg</v>
          </cell>
          <cell r="E10" t="str">
            <v>lfls1_s0_a3</v>
          </cell>
          <cell r="F10">
            <v>0.54669183492660522</v>
          </cell>
          <cell r="G10">
            <v>3</v>
          </cell>
        </row>
        <row r="11">
          <cell r="A11" t="str">
            <v>BGD</v>
          </cell>
          <cell r="B11" t="str">
            <v>Long</v>
          </cell>
          <cell r="C11" t="str">
            <v>2005 - 2022</v>
          </cell>
          <cell r="D11" t="str">
            <v>avg</v>
          </cell>
          <cell r="E11" t="str">
            <v>lfls1_s1_A0</v>
          </cell>
          <cell r="F11">
            <v>1.1051839590072632</v>
          </cell>
          <cell r="G11">
            <v>3</v>
          </cell>
        </row>
        <row r="12">
          <cell r="A12" t="str">
            <v>BGD</v>
          </cell>
          <cell r="B12" t="str">
            <v>Long</v>
          </cell>
          <cell r="C12" t="str">
            <v>2005 - 2022</v>
          </cell>
          <cell r="D12" t="str">
            <v>avg</v>
          </cell>
          <cell r="E12" t="str">
            <v>lfls1_s1_a1</v>
          </cell>
          <cell r="F12">
            <v>2.8441412448883057</v>
          </cell>
          <cell r="G12">
            <v>3</v>
          </cell>
        </row>
        <row r="13">
          <cell r="A13" t="str">
            <v>BGD</v>
          </cell>
          <cell r="B13" t="str">
            <v>Long</v>
          </cell>
          <cell r="C13" t="str">
            <v>2005 - 2022</v>
          </cell>
          <cell r="D13" t="str">
            <v>avg</v>
          </cell>
          <cell r="E13" t="str">
            <v>lfls1_s1_a2</v>
          </cell>
          <cell r="F13">
            <v>1.1048816442489624</v>
          </cell>
          <cell r="G13">
            <v>3</v>
          </cell>
        </row>
        <row r="14">
          <cell r="A14" t="str">
            <v>BGD</v>
          </cell>
          <cell r="B14" t="str">
            <v>Long</v>
          </cell>
          <cell r="C14" t="str">
            <v>2005 - 2022</v>
          </cell>
          <cell r="D14" t="str">
            <v>avg</v>
          </cell>
          <cell r="E14" t="str">
            <v>lfls1_s1_a3</v>
          </cell>
          <cell r="F14">
            <v>1.196010947227478</v>
          </cell>
          <cell r="G14">
            <v>3</v>
          </cell>
        </row>
        <row r="15">
          <cell r="A15" t="str">
            <v>BGD</v>
          </cell>
          <cell r="B15" t="str">
            <v>Long</v>
          </cell>
          <cell r="C15" t="str">
            <v>2005 - 2022</v>
          </cell>
          <cell r="D15" t="str">
            <v>avg</v>
          </cell>
          <cell r="E15" t="str">
            <v>lfprod_s0_a1</v>
          </cell>
          <cell r="F15">
            <v>1.0009294748306274</v>
          </cell>
          <cell r="G15">
            <v>3</v>
          </cell>
        </row>
        <row r="16">
          <cell r="A16" t="str">
            <v>BGD</v>
          </cell>
          <cell r="B16" t="str">
            <v>Long</v>
          </cell>
          <cell r="C16" t="str">
            <v>2005 - 2022</v>
          </cell>
          <cell r="D16" t="str">
            <v>avg</v>
          </cell>
          <cell r="E16" t="str">
            <v>lfprod_s0_a2</v>
          </cell>
          <cell r="F16">
            <v>-0.50713980197906494</v>
          </cell>
          <cell r="G16">
            <v>3</v>
          </cell>
        </row>
        <row r="17">
          <cell r="A17" t="str">
            <v>BGD</v>
          </cell>
          <cell r="B17" t="str">
            <v>Long</v>
          </cell>
          <cell r="C17" t="str">
            <v>2005 - 2022</v>
          </cell>
          <cell r="D17" t="str">
            <v>avg</v>
          </cell>
          <cell r="E17" t="str">
            <v>lfprod_s0_a3</v>
          </cell>
          <cell r="F17">
            <v>-0.33893957734107971</v>
          </cell>
          <cell r="G17">
            <v>3</v>
          </cell>
        </row>
        <row r="18">
          <cell r="A18" t="str">
            <v>BGD</v>
          </cell>
          <cell r="B18" t="str">
            <v>Long</v>
          </cell>
          <cell r="C18" t="str">
            <v>2005 - 2022</v>
          </cell>
          <cell r="D18" t="str">
            <v>avg</v>
          </cell>
          <cell r="E18" t="str">
            <v>lfprod_s1_a1</v>
          </cell>
          <cell r="F18">
            <v>1.7518855333328247</v>
          </cell>
          <cell r="G18">
            <v>3</v>
          </cell>
        </row>
        <row r="19">
          <cell r="A19" t="str">
            <v>BGD</v>
          </cell>
          <cell r="B19" t="str">
            <v>Long</v>
          </cell>
          <cell r="C19" t="str">
            <v>2005 - 2022</v>
          </cell>
          <cell r="D19" t="str">
            <v>avg</v>
          </cell>
          <cell r="E19" t="str">
            <v>lfprod_s1_a2</v>
          </cell>
          <cell r="F19">
            <v>0.16247689723968506</v>
          </cell>
          <cell r="G19">
            <v>3</v>
          </cell>
        </row>
        <row r="20">
          <cell r="A20" t="str">
            <v>BGD</v>
          </cell>
          <cell r="B20" t="str">
            <v>Long</v>
          </cell>
          <cell r="C20" t="str">
            <v>2005 - 2022</v>
          </cell>
          <cell r="D20" t="str">
            <v>avg</v>
          </cell>
          <cell r="E20" t="str">
            <v>lfprod_s1_a3</v>
          </cell>
          <cell r="F20">
            <v>0.13680732250213623</v>
          </cell>
          <cell r="G20">
            <v>3</v>
          </cell>
        </row>
        <row r="21">
          <cell r="A21" t="str">
            <v>BGD</v>
          </cell>
          <cell r="B21" t="str">
            <v>Long</v>
          </cell>
          <cell r="C21" t="str">
            <v>2005 - 2022</v>
          </cell>
          <cell r="D21" t="str">
            <v>avg_1_99</v>
          </cell>
          <cell r="E21" t="str">
            <v>lfls12_S0_A0</v>
          </cell>
          <cell r="F21">
            <v>0.37168604135513306</v>
          </cell>
          <cell r="G21">
            <v>3</v>
          </cell>
        </row>
        <row r="22">
          <cell r="A22" t="str">
            <v>BGD</v>
          </cell>
          <cell r="B22" t="str">
            <v>Long</v>
          </cell>
          <cell r="C22" t="str">
            <v>2005 - 2022</v>
          </cell>
          <cell r="D22" t="str">
            <v>avg_1_99</v>
          </cell>
          <cell r="E22" t="str">
            <v>lfls1_S0_A0</v>
          </cell>
          <cell r="F22">
            <v>0.34859895706176758</v>
          </cell>
          <cell r="G22">
            <v>3</v>
          </cell>
        </row>
        <row r="23">
          <cell r="A23" t="str">
            <v>BGD</v>
          </cell>
          <cell r="B23" t="str">
            <v>Long</v>
          </cell>
          <cell r="C23" t="str">
            <v>2005 - 2022</v>
          </cell>
          <cell r="D23" t="str">
            <v>avg_1_99</v>
          </cell>
          <cell r="E23" t="str">
            <v>lfls1_S0_a1</v>
          </cell>
          <cell r="F23">
            <v>0.36857318878173828</v>
          </cell>
          <cell r="G23">
            <v>3</v>
          </cell>
        </row>
        <row r="24">
          <cell r="A24" t="str">
            <v>BGD</v>
          </cell>
          <cell r="B24" t="str">
            <v>Long</v>
          </cell>
          <cell r="C24" t="str">
            <v>2005 - 2022</v>
          </cell>
          <cell r="D24" t="str">
            <v>avg_1_99</v>
          </cell>
          <cell r="E24" t="str">
            <v>lfls1_S0_a2</v>
          </cell>
          <cell r="F24">
            <v>0.35313531756401062</v>
          </cell>
          <cell r="G24">
            <v>3</v>
          </cell>
        </row>
        <row r="25">
          <cell r="A25" t="str">
            <v>BGD</v>
          </cell>
          <cell r="B25" t="str">
            <v>Long</v>
          </cell>
          <cell r="C25" t="str">
            <v>2005 - 2022</v>
          </cell>
          <cell r="D25" t="str">
            <v>avg_1_99</v>
          </cell>
          <cell r="E25" t="str">
            <v>lfls1_S0_a3</v>
          </cell>
          <cell r="F25">
            <v>0.58678263425827026</v>
          </cell>
          <cell r="G25">
            <v>3</v>
          </cell>
        </row>
        <row r="26">
          <cell r="A26" t="str">
            <v>BGD</v>
          </cell>
          <cell r="B26" t="str">
            <v>Long</v>
          </cell>
          <cell r="C26" t="str">
            <v>2005 - 2022</v>
          </cell>
          <cell r="D26" t="str">
            <v>avg_1_99</v>
          </cell>
          <cell r="E26" t="str">
            <v>lfls1_s0_A0</v>
          </cell>
          <cell r="F26">
            <v>0.64339053630828857</v>
          </cell>
          <cell r="G26">
            <v>3</v>
          </cell>
        </row>
        <row r="27">
          <cell r="A27" t="str">
            <v>BGD</v>
          </cell>
          <cell r="B27" t="str">
            <v>Long</v>
          </cell>
          <cell r="C27" t="str">
            <v>2005 - 2022</v>
          </cell>
          <cell r="D27" t="str">
            <v>avg_1_99</v>
          </cell>
          <cell r="E27" t="str">
            <v>lfls1_s0_a1</v>
          </cell>
          <cell r="F27">
            <v>3.2931687831878662</v>
          </cell>
          <cell r="G27">
            <v>3</v>
          </cell>
        </row>
        <row r="28">
          <cell r="A28" t="str">
            <v>BGD</v>
          </cell>
          <cell r="B28" t="str">
            <v>Long</v>
          </cell>
          <cell r="C28" t="str">
            <v>2005 - 2022</v>
          </cell>
          <cell r="D28" t="str">
            <v>avg_1_99</v>
          </cell>
          <cell r="E28" t="str">
            <v>lfls1_s0_a2</v>
          </cell>
          <cell r="F28">
            <v>0.28938496112823486</v>
          </cell>
          <cell r="G28">
            <v>3</v>
          </cell>
        </row>
        <row r="29">
          <cell r="A29" t="str">
            <v>BGD</v>
          </cell>
          <cell r="B29" t="str">
            <v>Long</v>
          </cell>
          <cell r="C29" t="str">
            <v>2005 - 2022</v>
          </cell>
          <cell r="D29" t="str">
            <v>avg_1_99</v>
          </cell>
          <cell r="E29" t="str">
            <v>lfls1_s0_a3</v>
          </cell>
          <cell r="F29">
            <v>0.45688459277153015</v>
          </cell>
          <cell r="G29">
            <v>3</v>
          </cell>
        </row>
        <row r="30">
          <cell r="A30" t="str">
            <v>BGD</v>
          </cell>
          <cell r="B30" t="str">
            <v>Long</v>
          </cell>
          <cell r="C30" t="str">
            <v>2005 - 2022</v>
          </cell>
          <cell r="D30" t="str">
            <v>avg_1_99</v>
          </cell>
          <cell r="E30" t="str">
            <v>lfls1_s1_A0</v>
          </cell>
          <cell r="F30">
            <v>-0.17981988191604614</v>
          </cell>
          <cell r="G30">
            <v>3</v>
          </cell>
        </row>
        <row r="31">
          <cell r="A31" t="str">
            <v>BGD</v>
          </cell>
          <cell r="B31" t="str">
            <v>Long</v>
          </cell>
          <cell r="C31" t="str">
            <v>2005 - 2022</v>
          </cell>
          <cell r="D31" t="str">
            <v>avg_1_99</v>
          </cell>
          <cell r="E31" t="str">
            <v>lfls1_s1_a1</v>
          </cell>
          <cell r="F31">
            <v>-0.84124022722244263</v>
          </cell>
          <cell r="G31">
            <v>3</v>
          </cell>
        </row>
        <row r="32">
          <cell r="A32" t="str">
            <v>BGD</v>
          </cell>
          <cell r="B32" t="str">
            <v>Long</v>
          </cell>
          <cell r="C32" t="str">
            <v>2005 - 2022</v>
          </cell>
          <cell r="D32" t="str">
            <v>avg_1_99</v>
          </cell>
          <cell r="E32" t="str">
            <v>lfls1_s1_a2</v>
          </cell>
          <cell r="F32">
            <v>0.94977873563766479</v>
          </cell>
          <cell r="G32">
            <v>3</v>
          </cell>
        </row>
        <row r="33">
          <cell r="A33" t="str">
            <v>BGD</v>
          </cell>
          <cell r="B33" t="str">
            <v>Long</v>
          </cell>
          <cell r="C33" t="str">
            <v>2005 - 2022</v>
          </cell>
          <cell r="D33" t="str">
            <v>avg_1_99</v>
          </cell>
          <cell r="E33" t="str">
            <v>lfls1_s1_a3</v>
          </cell>
          <cell r="F33">
            <v>1.1830865144729614</v>
          </cell>
          <cell r="G33">
            <v>3</v>
          </cell>
        </row>
        <row r="34">
          <cell r="A34" t="str">
            <v>BGD</v>
          </cell>
          <cell r="B34" t="str">
            <v>Long</v>
          </cell>
          <cell r="C34" t="str">
            <v>2005 - 2022</v>
          </cell>
          <cell r="D34" t="str">
            <v>avg_1_99</v>
          </cell>
          <cell r="E34" t="str">
            <v>lfprod_s0_a1</v>
          </cell>
          <cell r="F34">
            <v>1.9258879423141479</v>
          </cell>
          <cell r="G34">
            <v>3</v>
          </cell>
        </row>
        <row r="35">
          <cell r="A35" t="str">
            <v>BGD</v>
          </cell>
          <cell r="B35" t="str">
            <v>Long</v>
          </cell>
          <cell r="C35" t="str">
            <v>2005 - 2022</v>
          </cell>
          <cell r="D35" t="str">
            <v>avg_1_99</v>
          </cell>
          <cell r="E35" t="str">
            <v>lfprod_s0_a2</v>
          </cell>
          <cell r="F35">
            <v>-0.51593655347824097</v>
          </cell>
          <cell r="G35">
            <v>3</v>
          </cell>
        </row>
        <row r="36">
          <cell r="A36" t="str">
            <v>BGD</v>
          </cell>
          <cell r="B36" t="str">
            <v>Long</v>
          </cell>
          <cell r="C36" t="str">
            <v>2005 - 2022</v>
          </cell>
          <cell r="D36" t="str">
            <v>avg_1_99</v>
          </cell>
          <cell r="E36" t="str">
            <v>lfprod_s0_a3</v>
          </cell>
          <cell r="F36">
            <v>-0.40135094523429871</v>
          </cell>
          <cell r="G36">
            <v>3</v>
          </cell>
        </row>
        <row r="37">
          <cell r="A37" t="str">
            <v>BGD</v>
          </cell>
          <cell r="B37" t="str">
            <v>Long</v>
          </cell>
          <cell r="C37" t="str">
            <v>2005 - 2022</v>
          </cell>
          <cell r="D37" t="str">
            <v>avg_1_99</v>
          </cell>
          <cell r="E37" t="str">
            <v>lfprod_s1_a1</v>
          </cell>
          <cell r="F37">
            <v>-1.6635783910751343</v>
          </cell>
          <cell r="G37">
            <v>3</v>
          </cell>
        </row>
        <row r="38">
          <cell r="A38" t="str">
            <v>BGD</v>
          </cell>
          <cell r="B38" t="str">
            <v>Long</v>
          </cell>
          <cell r="C38" t="str">
            <v>2005 - 2022</v>
          </cell>
          <cell r="D38" t="str">
            <v>avg_1_99</v>
          </cell>
          <cell r="E38" t="str">
            <v>lfprod_s1_a2</v>
          </cell>
          <cell r="F38">
            <v>1.2335801729932427E-3</v>
          </cell>
          <cell r="G38">
            <v>3</v>
          </cell>
        </row>
        <row r="39">
          <cell r="A39" t="str">
            <v>BGD</v>
          </cell>
          <cell r="B39" t="str">
            <v>Long</v>
          </cell>
          <cell r="C39" t="str">
            <v>2005 - 2022</v>
          </cell>
          <cell r="D39" t="str">
            <v>avg_1_99</v>
          </cell>
          <cell r="E39" t="str">
            <v>lfprod_s1_a3</v>
          </cell>
          <cell r="F39">
            <v>0.13402286171913147</v>
          </cell>
          <cell r="G39">
            <v>3</v>
          </cell>
        </row>
        <row r="40">
          <cell r="A40" t="str">
            <v>BGD</v>
          </cell>
          <cell r="B40" t="str">
            <v>Long</v>
          </cell>
          <cell r="C40" t="str">
            <v>2005 - 2022</v>
          </cell>
          <cell r="D40" t="str">
            <v>avg_1_99_imp</v>
          </cell>
          <cell r="E40" t="str">
            <v>lfls12_S0_A0</v>
          </cell>
          <cell r="F40">
            <v>0.3712775707244873</v>
          </cell>
          <cell r="G40">
            <v>3</v>
          </cell>
        </row>
        <row r="41">
          <cell r="A41" t="str">
            <v>BGD</v>
          </cell>
          <cell r="B41" t="str">
            <v>Long</v>
          </cell>
          <cell r="C41" t="str">
            <v>2005 - 2022</v>
          </cell>
          <cell r="D41" t="str">
            <v>avg_1_99_imp</v>
          </cell>
          <cell r="E41" t="str">
            <v>lfls1_S0_A0</v>
          </cell>
          <cell r="F41">
            <v>0.34997311234474182</v>
          </cell>
          <cell r="G41">
            <v>3</v>
          </cell>
        </row>
        <row r="42">
          <cell r="A42" t="str">
            <v>BGD</v>
          </cell>
          <cell r="B42" t="str">
            <v>Long</v>
          </cell>
          <cell r="C42" t="str">
            <v>2005 - 2022</v>
          </cell>
          <cell r="D42" t="str">
            <v>avg_1_99_imp</v>
          </cell>
          <cell r="E42" t="str">
            <v>lfls1_S0_a1</v>
          </cell>
          <cell r="F42">
            <v>0.39568176865577698</v>
          </cell>
          <cell r="G42">
            <v>3</v>
          </cell>
        </row>
        <row r="43">
          <cell r="A43" t="str">
            <v>BGD</v>
          </cell>
          <cell r="B43" t="str">
            <v>Long</v>
          </cell>
          <cell r="C43" t="str">
            <v>2005 - 2022</v>
          </cell>
          <cell r="D43" t="str">
            <v>avg_1_99_imp</v>
          </cell>
          <cell r="E43" t="str">
            <v>lfls1_S0_a2</v>
          </cell>
          <cell r="F43">
            <v>0.26250544190406799</v>
          </cell>
          <cell r="G43">
            <v>3</v>
          </cell>
        </row>
        <row r="44">
          <cell r="A44" t="str">
            <v>BGD</v>
          </cell>
          <cell r="B44" t="str">
            <v>Long</v>
          </cell>
          <cell r="C44" t="str">
            <v>2005 - 2022</v>
          </cell>
          <cell r="D44" t="str">
            <v>avg_1_99_imp</v>
          </cell>
          <cell r="E44" t="str">
            <v>lfls1_S0_a3</v>
          </cell>
          <cell r="F44">
            <v>0.56826406717300415</v>
          </cell>
          <cell r="G44">
            <v>3</v>
          </cell>
        </row>
        <row r="45">
          <cell r="A45" t="str">
            <v>BGD</v>
          </cell>
          <cell r="B45" t="str">
            <v>Long</v>
          </cell>
          <cell r="C45" t="str">
            <v>2005 - 2022</v>
          </cell>
          <cell r="D45" t="str">
            <v>avg_1_99_imp</v>
          </cell>
          <cell r="E45" t="str">
            <v>lfls1_s0_A0</v>
          </cell>
          <cell r="F45">
            <v>0.62842065095901489</v>
          </cell>
          <cell r="G45">
            <v>3</v>
          </cell>
        </row>
        <row r="46">
          <cell r="A46" t="str">
            <v>BGD</v>
          </cell>
          <cell r="B46" t="str">
            <v>Long</v>
          </cell>
          <cell r="C46" t="str">
            <v>2005 - 2022</v>
          </cell>
          <cell r="D46" t="str">
            <v>avg_1_99_imp</v>
          </cell>
          <cell r="E46" t="str">
            <v>lfls1_s0_a1</v>
          </cell>
          <cell r="F46">
            <v>3.0072832107543945</v>
          </cell>
          <cell r="G46">
            <v>3</v>
          </cell>
        </row>
        <row r="47">
          <cell r="A47" t="str">
            <v>BGD</v>
          </cell>
          <cell r="B47" t="str">
            <v>Long</v>
          </cell>
          <cell r="C47" t="str">
            <v>2005 - 2022</v>
          </cell>
          <cell r="D47" t="str">
            <v>avg_1_99_imp</v>
          </cell>
          <cell r="E47" t="str">
            <v>lfls1_s0_a2</v>
          </cell>
          <cell r="F47">
            <v>0.2149956077337265</v>
          </cell>
          <cell r="G47">
            <v>3</v>
          </cell>
        </row>
        <row r="48">
          <cell r="A48" t="str">
            <v>BGD</v>
          </cell>
          <cell r="B48" t="str">
            <v>Long</v>
          </cell>
          <cell r="C48" t="str">
            <v>2005 - 2022</v>
          </cell>
          <cell r="D48" t="str">
            <v>avg_1_99_imp</v>
          </cell>
          <cell r="E48" t="str">
            <v>lfls1_s0_a3</v>
          </cell>
          <cell r="F48">
            <v>0.37846094369888306</v>
          </cell>
          <cell r="G48">
            <v>3</v>
          </cell>
        </row>
        <row r="49">
          <cell r="A49" t="str">
            <v>BGD</v>
          </cell>
          <cell r="B49" t="str">
            <v>Long</v>
          </cell>
          <cell r="C49" t="str">
            <v>2005 - 2022</v>
          </cell>
          <cell r="D49" t="str">
            <v>avg_1_99_imp</v>
          </cell>
          <cell r="E49" t="str">
            <v>lfls1_s1_A0</v>
          </cell>
          <cell r="F49">
            <v>-0.22317075729370117</v>
          </cell>
          <cell r="G49">
            <v>3</v>
          </cell>
        </row>
        <row r="50">
          <cell r="A50" t="str">
            <v>BGD</v>
          </cell>
          <cell r="B50" t="str">
            <v>Long</v>
          </cell>
          <cell r="C50" t="str">
            <v>2005 - 2022</v>
          </cell>
          <cell r="D50" t="str">
            <v>avg_1_99_imp</v>
          </cell>
          <cell r="E50" t="str">
            <v>lfls1_s1_a1</v>
          </cell>
          <cell r="F50">
            <v>-0.9830518364906311</v>
          </cell>
          <cell r="G50">
            <v>3</v>
          </cell>
        </row>
        <row r="51">
          <cell r="A51" t="str">
            <v>BGD</v>
          </cell>
          <cell r="B51" t="str">
            <v>Long</v>
          </cell>
          <cell r="C51" t="str">
            <v>2005 - 2022</v>
          </cell>
          <cell r="D51" t="str">
            <v>avg_1_99_imp</v>
          </cell>
          <cell r="E51" t="str">
            <v>lfls1_s1_a2</v>
          </cell>
          <cell r="F51">
            <v>0.73572051525115967</v>
          </cell>
          <cell r="G51">
            <v>3</v>
          </cell>
        </row>
        <row r="52">
          <cell r="A52" t="str">
            <v>BGD</v>
          </cell>
          <cell r="B52" t="str">
            <v>Long</v>
          </cell>
          <cell r="C52" t="str">
            <v>2005 - 2022</v>
          </cell>
          <cell r="D52" t="str">
            <v>avg_1_99_imp</v>
          </cell>
          <cell r="E52" t="str">
            <v>lfls1_s1_a3</v>
          </cell>
          <cell r="F52">
            <v>1.1576902866363525</v>
          </cell>
          <cell r="G52">
            <v>3</v>
          </cell>
        </row>
        <row r="53">
          <cell r="A53" t="str">
            <v>BGD</v>
          </cell>
          <cell r="B53" t="str">
            <v>Long</v>
          </cell>
          <cell r="C53" t="str">
            <v>2005 - 2022</v>
          </cell>
          <cell r="D53" t="str">
            <v>avg_1_99_imp</v>
          </cell>
          <cell r="E53" t="str">
            <v>lfprod_s0_a1</v>
          </cell>
          <cell r="F53">
            <v>1.7610269784927368</v>
          </cell>
          <cell r="G53">
            <v>3</v>
          </cell>
        </row>
        <row r="54">
          <cell r="A54" t="str">
            <v>BGD</v>
          </cell>
          <cell r="B54" t="str">
            <v>Long</v>
          </cell>
          <cell r="C54" t="str">
            <v>2005 - 2022</v>
          </cell>
          <cell r="D54" t="str">
            <v>avg_1_99_imp</v>
          </cell>
          <cell r="E54" t="str">
            <v>lfprod_s0_a2</v>
          </cell>
          <cell r="F54">
            <v>-0.57560330629348755</v>
          </cell>
          <cell r="G54">
            <v>3</v>
          </cell>
        </row>
        <row r="55">
          <cell r="A55" t="str">
            <v>BGD</v>
          </cell>
          <cell r="B55" t="str">
            <v>Long</v>
          </cell>
          <cell r="C55" t="str">
            <v>2005 - 2022</v>
          </cell>
          <cell r="D55" t="str">
            <v>avg_1_99_imp</v>
          </cell>
          <cell r="E55" t="str">
            <v>lfprod_s0_a3</v>
          </cell>
          <cell r="F55">
            <v>-0.44809001684188843</v>
          </cell>
          <cell r="G55">
            <v>3</v>
          </cell>
        </row>
        <row r="56">
          <cell r="A56" t="str">
            <v>BGD</v>
          </cell>
          <cell r="B56" t="str">
            <v>Long</v>
          </cell>
          <cell r="C56" t="str">
            <v>2005 - 2022</v>
          </cell>
          <cell r="D56" t="str">
            <v>avg_1_99_imp</v>
          </cell>
          <cell r="E56" t="str">
            <v>lfprod_s1_a1</v>
          </cell>
          <cell r="F56">
            <v>-1.8169291019439697</v>
          </cell>
          <cell r="G56">
            <v>3</v>
          </cell>
        </row>
        <row r="57">
          <cell r="A57" t="str">
            <v>BGD</v>
          </cell>
          <cell r="B57" t="str">
            <v>Long</v>
          </cell>
          <cell r="C57" t="str">
            <v>2005 - 2022</v>
          </cell>
          <cell r="D57" t="str">
            <v>avg_1_99_imp</v>
          </cell>
          <cell r="E57" t="str">
            <v>lfprod_s1_a2</v>
          </cell>
          <cell r="F57">
            <v>-0.20860031247138977</v>
          </cell>
          <cell r="G57">
            <v>3</v>
          </cell>
        </row>
        <row r="58">
          <cell r="A58" t="str">
            <v>BGD</v>
          </cell>
          <cell r="B58" t="str">
            <v>Long</v>
          </cell>
          <cell r="C58" t="str">
            <v>2005 - 2022</v>
          </cell>
          <cell r="D58" t="str">
            <v>avg_1_99_imp</v>
          </cell>
          <cell r="E58" t="str">
            <v>lfprod_s1_a3</v>
          </cell>
          <cell r="F58">
            <v>0.12620247900485992</v>
          </cell>
          <cell r="G58">
            <v>3</v>
          </cell>
        </row>
        <row r="59">
          <cell r="A59" t="str">
            <v>BGD</v>
          </cell>
          <cell r="B59" t="str">
            <v>Long</v>
          </cell>
          <cell r="C59" t="str">
            <v>2005 - 2022</v>
          </cell>
          <cell r="D59" t="str">
            <v>med_reg</v>
          </cell>
          <cell r="E59" t="str">
            <v>lfls12_S0_A0</v>
          </cell>
          <cell r="F59">
            <v>0.359465092420578</v>
          </cell>
          <cell r="G59">
            <v>3</v>
          </cell>
        </row>
        <row r="60">
          <cell r="A60" t="str">
            <v>BGD</v>
          </cell>
          <cell r="B60" t="str">
            <v>Long</v>
          </cell>
          <cell r="C60" t="str">
            <v>2005 - 2022</v>
          </cell>
          <cell r="D60" t="str">
            <v>med_reg</v>
          </cell>
          <cell r="E60" t="str">
            <v>lfls1_S0_A0</v>
          </cell>
          <cell r="F60">
            <v>0.37110373377799988</v>
          </cell>
          <cell r="G60">
            <v>3</v>
          </cell>
        </row>
        <row r="61">
          <cell r="A61" t="str">
            <v>BGD</v>
          </cell>
          <cell r="B61" t="str">
            <v>Long</v>
          </cell>
          <cell r="C61" t="str">
            <v>2005 - 2022</v>
          </cell>
          <cell r="D61" t="str">
            <v>med_reg</v>
          </cell>
          <cell r="E61" t="str">
            <v>lfls1_S0_a1</v>
          </cell>
          <cell r="F61">
            <v>0.39543730020523071</v>
          </cell>
          <cell r="G61">
            <v>3</v>
          </cell>
        </row>
        <row r="62">
          <cell r="A62" t="str">
            <v>BGD</v>
          </cell>
          <cell r="B62" t="str">
            <v>Long</v>
          </cell>
          <cell r="C62" t="str">
            <v>2005 - 2022</v>
          </cell>
          <cell r="D62" t="str">
            <v>med_reg</v>
          </cell>
          <cell r="E62" t="str">
            <v>lfls1_S0_a2</v>
          </cell>
          <cell r="F62">
            <v>0.46871489286422729</v>
          </cell>
          <cell r="G62">
            <v>3</v>
          </cell>
        </row>
        <row r="63">
          <cell r="A63" t="str">
            <v>BGD</v>
          </cell>
          <cell r="B63" t="str">
            <v>Long</v>
          </cell>
          <cell r="C63" t="str">
            <v>2005 - 2022</v>
          </cell>
          <cell r="D63" t="str">
            <v>med_reg</v>
          </cell>
          <cell r="E63" t="str">
            <v>lfls1_S0_a3</v>
          </cell>
          <cell r="F63">
            <v>0.62545281648635864</v>
          </cell>
          <cell r="G63">
            <v>3</v>
          </cell>
        </row>
        <row r="64">
          <cell r="A64" t="str">
            <v>BGD</v>
          </cell>
          <cell r="B64" t="str">
            <v>Long</v>
          </cell>
          <cell r="C64" t="str">
            <v>2005 - 2022</v>
          </cell>
          <cell r="D64" t="str">
            <v>med_reg</v>
          </cell>
          <cell r="E64" t="str">
            <v>lfls1_s0_A0</v>
          </cell>
          <cell r="F64">
            <v>0.33947250247001648</v>
          </cell>
          <cell r="G64">
            <v>3</v>
          </cell>
        </row>
        <row r="65">
          <cell r="A65" t="str">
            <v>BGD</v>
          </cell>
          <cell r="B65" t="str">
            <v>Long</v>
          </cell>
          <cell r="C65" t="str">
            <v>2005 - 2022</v>
          </cell>
          <cell r="D65" t="str">
            <v>med_reg</v>
          </cell>
          <cell r="E65" t="str">
            <v>lfls1_s0_a1</v>
          </cell>
          <cell r="F65">
            <v>-0.36433190107345581</v>
          </cell>
          <cell r="G65">
            <v>3</v>
          </cell>
        </row>
        <row r="66">
          <cell r="A66" t="str">
            <v>BGD</v>
          </cell>
          <cell r="B66" t="str">
            <v>Long</v>
          </cell>
          <cell r="C66" t="str">
            <v>2005 - 2022</v>
          </cell>
          <cell r="D66" t="str">
            <v>med_reg</v>
          </cell>
          <cell r="E66" t="str">
            <v>lfls1_s0_a2</v>
          </cell>
          <cell r="F66">
            <v>0.37960657477378845</v>
          </cell>
          <cell r="G66">
            <v>3</v>
          </cell>
        </row>
        <row r="67">
          <cell r="A67" t="str">
            <v>BGD</v>
          </cell>
          <cell r="B67" t="str">
            <v>Long</v>
          </cell>
          <cell r="C67" t="str">
            <v>2005 - 2022</v>
          </cell>
          <cell r="D67" t="str">
            <v>med_reg</v>
          </cell>
          <cell r="E67" t="str">
            <v>lfls1_s0_a3</v>
          </cell>
          <cell r="F67">
            <v>0.42806535959243774</v>
          </cell>
          <cell r="G67">
            <v>3</v>
          </cell>
        </row>
        <row r="68">
          <cell r="A68" t="str">
            <v>BGD</v>
          </cell>
          <cell r="B68" t="str">
            <v>Long</v>
          </cell>
          <cell r="C68" t="str">
            <v>2005 - 2022</v>
          </cell>
          <cell r="D68" t="str">
            <v>med_reg</v>
          </cell>
          <cell r="E68" t="str">
            <v>lfls1_s1_A0</v>
          </cell>
          <cell r="F68">
            <v>0.44557538628578186</v>
          </cell>
          <cell r="G68">
            <v>3</v>
          </cell>
        </row>
        <row r="69">
          <cell r="A69" t="str">
            <v>BGD</v>
          </cell>
          <cell r="B69" t="str">
            <v>Long</v>
          </cell>
          <cell r="C69" t="str">
            <v>2005 - 2022</v>
          </cell>
          <cell r="D69" t="str">
            <v>med_reg</v>
          </cell>
          <cell r="E69" t="str">
            <v>lfls1_s1_a1</v>
          </cell>
          <cell r="F69">
            <v>0.48070895671844482</v>
          </cell>
          <cell r="G69">
            <v>3</v>
          </cell>
        </row>
        <row r="70">
          <cell r="A70" t="str">
            <v>BGD</v>
          </cell>
          <cell r="B70" t="str">
            <v>Long</v>
          </cell>
          <cell r="C70" t="str">
            <v>2005 - 2022</v>
          </cell>
          <cell r="D70" t="str">
            <v>med_reg</v>
          </cell>
          <cell r="E70" t="str">
            <v>lfls1_s1_a2</v>
          </cell>
          <cell r="F70">
            <v>0.54561376571655273</v>
          </cell>
          <cell r="G70">
            <v>3</v>
          </cell>
        </row>
        <row r="71">
          <cell r="A71" t="str">
            <v>BGD</v>
          </cell>
          <cell r="B71" t="str">
            <v>Long</v>
          </cell>
          <cell r="C71" t="str">
            <v>2005 - 2022</v>
          </cell>
          <cell r="D71" t="str">
            <v>med_reg</v>
          </cell>
          <cell r="E71" t="str">
            <v>lfls1_s1_a3</v>
          </cell>
          <cell r="F71">
            <v>1.2312884330749512</v>
          </cell>
          <cell r="G71">
            <v>3</v>
          </cell>
        </row>
        <row r="72">
          <cell r="A72" t="str">
            <v>BGD</v>
          </cell>
          <cell r="B72" t="str">
            <v>Long</v>
          </cell>
          <cell r="C72" t="str">
            <v>2005 - 2022</v>
          </cell>
          <cell r="D72" t="str">
            <v>med_reg</v>
          </cell>
          <cell r="E72" t="str">
            <v>lfprod_s0_a1</v>
          </cell>
          <cell r="F72">
            <v>-1.364331841468811</v>
          </cell>
          <cell r="G72">
            <v>3</v>
          </cell>
        </row>
        <row r="73">
          <cell r="A73" t="str">
            <v>BGD</v>
          </cell>
          <cell r="B73" t="str">
            <v>Long</v>
          </cell>
          <cell r="C73" t="str">
            <v>2005 - 2022</v>
          </cell>
          <cell r="D73" t="str">
            <v>med_reg</v>
          </cell>
          <cell r="E73" t="str">
            <v>lfprod_s0_a2</v>
          </cell>
          <cell r="F73">
            <v>-0.62039339542388916</v>
          </cell>
          <cell r="G73">
            <v>3</v>
          </cell>
        </row>
        <row r="74">
          <cell r="A74" t="str">
            <v>BGD</v>
          </cell>
          <cell r="B74" t="str">
            <v>Long</v>
          </cell>
          <cell r="C74" t="str">
            <v>2005 - 2022</v>
          </cell>
          <cell r="D74" t="str">
            <v>med_reg</v>
          </cell>
          <cell r="E74" t="str">
            <v>lfprod_s0_a3</v>
          </cell>
          <cell r="F74">
            <v>-0.57193464040756226</v>
          </cell>
          <cell r="G74">
            <v>3</v>
          </cell>
        </row>
        <row r="75">
          <cell r="A75" t="str">
            <v>BGD</v>
          </cell>
          <cell r="B75" t="str">
            <v>Long</v>
          </cell>
          <cell r="C75" t="str">
            <v>2005 - 2022</v>
          </cell>
          <cell r="D75" t="str">
            <v>med_reg</v>
          </cell>
          <cell r="E75" t="str">
            <v>lfprod_s1_a1</v>
          </cell>
          <cell r="F75">
            <v>-0.51929104328155518</v>
          </cell>
          <cell r="G75">
            <v>3</v>
          </cell>
        </row>
        <row r="76">
          <cell r="A76" t="str">
            <v>BGD</v>
          </cell>
          <cell r="B76" t="str">
            <v>Long</v>
          </cell>
          <cell r="C76" t="str">
            <v>2005 - 2022</v>
          </cell>
          <cell r="D76" t="str">
            <v>med_reg</v>
          </cell>
          <cell r="E76" t="str">
            <v>lfprod_s1_a2</v>
          </cell>
          <cell r="F76">
            <v>-0.45438623428344727</v>
          </cell>
          <cell r="G76">
            <v>3</v>
          </cell>
        </row>
        <row r="77">
          <cell r="A77" t="str">
            <v>BGD</v>
          </cell>
          <cell r="B77" t="str">
            <v>Long</v>
          </cell>
          <cell r="C77" t="str">
            <v>2005 - 2022</v>
          </cell>
          <cell r="D77" t="str">
            <v>med_reg</v>
          </cell>
          <cell r="E77" t="str">
            <v>lfprod_s1_a3</v>
          </cell>
          <cell r="F77">
            <v>0.23128838837146759</v>
          </cell>
          <cell r="G77">
            <v>3</v>
          </cell>
        </row>
        <row r="78">
          <cell r="A78" t="str">
            <v>BGD</v>
          </cell>
          <cell r="B78" t="str">
            <v>Long</v>
          </cell>
          <cell r="C78" t="str">
            <v>2005 - 2022</v>
          </cell>
          <cell r="D78" t="str">
            <v>med_reg_gdp</v>
          </cell>
          <cell r="E78" t="str">
            <v>lfls12_S0_A0</v>
          </cell>
          <cell r="F78">
            <v>0.359465092420578</v>
          </cell>
          <cell r="G78">
            <v>3</v>
          </cell>
        </row>
        <row r="79">
          <cell r="A79" t="str">
            <v>BGD</v>
          </cell>
          <cell r="B79" t="str">
            <v>Long</v>
          </cell>
          <cell r="C79" t="str">
            <v>2005 - 2022</v>
          </cell>
          <cell r="D79" t="str">
            <v>med_reg_gdp</v>
          </cell>
          <cell r="E79" t="str">
            <v>lfls1_S0_A0</v>
          </cell>
          <cell r="F79">
            <v>0.37110373377799988</v>
          </cell>
          <cell r="G79">
            <v>3</v>
          </cell>
        </row>
        <row r="80">
          <cell r="A80" t="str">
            <v>BGD</v>
          </cell>
          <cell r="B80" t="str">
            <v>Long</v>
          </cell>
          <cell r="C80" t="str">
            <v>2005 - 2022</v>
          </cell>
          <cell r="D80" t="str">
            <v>med_reg_gdp</v>
          </cell>
          <cell r="E80" t="str">
            <v>lfls1_S0_a1</v>
          </cell>
          <cell r="F80">
            <v>0.30331897735595703</v>
          </cell>
          <cell r="G80">
            <v>3</v>
          </cell>
        </row>
        <row r="81">
          <cell r="A81" t="str">
            <v>BGD</v>
          </cell>
          <cell r="B81" t="str">
            <v>Long</v>
          </cell>
          <cell r="C81" t="str">
            <v>2005 - 2022</v>
          </cell>
          <cell r="D81" t="str">
            <v>med_reg_gdp</v>
          </cell>
          <cell r="E81" t="str">
            <v>lfls1_S0_a2</v>
          </cell>
          <cell r="F81">
            <v>-2.281212329864502</v>
          </cell>
          <cell r="G81">
            <v>3</v>
          </cell>
        </row>
        <row r="82">
          <cell r="A82" t="str">
            <v>BGD</v>
          </cell>
          <cell r="B82" t="str">
            <v>Long</v>
          </cell>
          <cell r="C82" t="str">
            <v>2005 - 2022</v>
          </cell>
          <cell r="D82" t="str">
            <v>med_reg_gdp</v>
          </cell>
          <cell r="E82" t="str">
            <v>lfls1_S0_a3</v>
          </cell>
          <cell r="F82">
            <v>-8.5422267913818359</v>
          </cell>
          <cell r="G82">
            <v>3</v>
          </cell>
        </row>
        <row r="83">
          <cell r="A83" t="str">
            <v>BGD</v>
          </cell>
          <cell r="B83" t="str">
            <v>Long</v>
          </cell>
          <cell r="C83" t="str">
            <v>2005 - 2022</v>
          </cell>
          <cell r="D83" t="str">
            <v>med_reg_gdp</v>
          </cell>
          <cell r="E83" t="str">
            <v>lfls1_s0_A0</v>
          </cell>
          <cell r="F83">
            <v>0.33947250247001648</v>
          </cell>
          <cell r="G83">
            <v>3</v>
          </cell>
        </row>
        <row r="84">
          <cell r="A84" t="str">
            <v>BGD</v>
          </cell>
          <cell r="B84" t="str">
            <v>Long</v>
          </cell>
          <cell r="C84" t="str">
            <v>2005 - 2022</v>
          </cell>
          <cell r="D84" t="str">
            <v>med_reg_gdp</v>
          </cell>
          <cell r="E84" t="str">
            <v>lfls1_s0_a1</v>
          </cell>
          <cell r="F84">
            <v>-5.8045792579650879</v>
          </cell>
          <cell r="G84">
            <v>3</v>
          </cell>
        </row>
        <row r="85">
          <cell r="A85" t="str">
            <v>BGD</v>
          </cell>
          <cell r="B85" t="str">
            <v>Long</v>
          </cell>
          <cell r="C85" t="str">
            <v>2005 - 2022</v>
          </cell>
          <cell r="D85" t="str">
            <v>med_reg_gdp</v>
          </cell>
          <cell r="E85" t="str">
            <v>lfls1_s0_a2</v>
          </cell>
          <cell r="F85">
            <v>-4.2236099243164063</v>
          </cell>
          <cell r="G85">
            <v>3</v>
          </cell>
        </row>
        <row r="86">
          <cell r="A86" t="str">
            <v>BGD</v>
          </cell>
          <cell r="B86" t="str">
            <v>Long</v>
          </cell>
          <cell r="C86" t="str">
            <v>2005 - 2022</v>
          </cell>
          <cell r="D86" t="str">
            <v>med_reg_gdp</v>
          </cell>
          <cell r="E86" t="str">
            <v>lfls1_s0_a3</v>
          </cell>
          <cell r="F86">
            <v>-7.5700645446777344</v>
          </cell>
          <cell r="G86">
            <v>3</v>
          </cell>
        </row>
        <row r="87">
          <cell r="A87" t="str">
            <v>BGD</v>
          </cell>
          <cell r="B87" t="str">
            <v>Long</v>
          </cell>
          <cell r="C87" t="str">
            <v>2005 - 2022</v>
          </cell>
          <cell r="D87" t="str">
            <v>med_reg_gdp</v>
          </cell>
          <cell r="E87" t="str">
            <v>lfls1_s1_A0</v>
          </cell>
          <cell r="F87">
            <v>0.44557538628578186</v>
          </cell>
          <cell r="G87">
            <v>3</v>
          </cell>
        </row>
        <row r="88">
          <cell r="A88" t="str">
            <v>BGD</v>
          </cell>
          <cell r="B88" t="str">
            <v>Long</v>
          </cell>
          <cell r="C88" t="str">
            <v>2005 - 2022</v>
          </cell>
          <cell r="D88" t="str">
            <v>med_reg_gdp</v>
          </cell>
          <cell r="E88" t="str">
            <v>lfls1_s1_a1</v>
          </cell>
          <cell r="F88">
            <v>2.8679497241973877</v>
          </cell>
          <cell r="G88">
            <v>3</v>
          </cell>
        </row>
        <row r="89">
          <cell r="A89" t="str">
            <v>BGD</v>
          </cell>
          <cell r="B89" t="str">
            <v>Long</v>
          </cell>
          <cell r="C89" t="str">
            <v>2005 - 2022</v>
          </cell>
          <cell r="D89" t="str">
            <v>med_reg_gdp</v>
          </cell>
          <cell r="E89" t="str">
            <v>lfls1_s1_a2</v>
          </cell>
          <cell r="F89">
            <v>9.3923301696777344</v>
          </cell>
          <cell r="G89">
            <v>3</v>
          </cell>
        </row>
        <row r="90">
          <cell r="A90" t="str">
            <v>BGD</v>
          </cell>
          <cell r="B90" t="str">
            <v>Long</v>
          </cell>
          <cell r="C90" t="str">
            <v>2005 - 2022</v>
          </cell>
          <cell r="D90" t="str">
            <v>med_reg_gdp</v>
          </cell>
          <cell r="E90" t="str">
            <v>lfls1_s1_a3</v>
          </cell>
          <cell r="F90">
            <v>-0.71934640407562256</v>
          </cell>
          <cell r="G90">
            <v>3</v>
          </cell>
        </row>
        <row r="91">
          <cell r="A91" t="str">
            <v>BGD</v>
          </cell>
          <cell r="B91" t="str">
            <v>Long</v>
          </cell>
          <cell r="C91" t="str">
            <v>2005 - 2022</v>
          </cell>
          <cell r="D91" t="str">
            <v>med_reg_gdp</v>
          </cell>
          <cell r="E91" t="str">
            <v>lfprod_s0_a1</v>
          </cell>
          <cell r="F91">
            <v>-6.8045792579650879</v>
          </cell>
          <cell r="G91">
            <v>3</v>
          </cell>
        </row>
        <row r="92">
          <cell r="A92" t="str">
            <v>BGD</v>
          </cell>
          <cell r="B92" t="str">
            <v>Long</v>
          </cell>
          <cell r="C92" t="str">
            <v>2005 - 2022</v>
          </cell>
          <cell r="D92" t="str">
            <v>med_reg_gdp</v>
          </cell>
          <cell r="E92" t="str">
            <v>lfprod_s0_a2</v>
          </cell>
          <cell r="F92">
            <v>-5.2236099243164063</v>
          </cell>
          <cell r="G92">
            <v>3</v>
          </cell>
        </row>
        <row r="93">
          <cell r="A93" t="str">
            <v>BGD</v>
          </cell>
          <cell r="B93" t="str">
            <v>Long</v>
          </cell>
          <cell r="C93" t="str">
            <v>2005 - 2022</v>
          </cell>
          <cell r="D93" t="str">
            <v>med_reg_gdp</v>
          </cell>
          <cell r="E93" t="str">
            <v>lfprod_s0_a3</v>
          </cell>
          <cell r="F93">
            <v>-8.5700645446777344</v>
          </cell>
          <cell r="G93">
            <v>3</v>
          </cell>
        </row>
        <row r="94">
          <cell r="A94" t="str">
            <v>BGD</v>
          </cell>
          <cell r="B94" t="str">
            <v>Long</v>
          </cell>
          <cell r="C94" t="str">
            <v>2005 - 2022</v>
          </cell>
          <cell r="D94" t="str">
            <v>med_reg_gdp</v>
          </cell>
          <cell r="E94" t="str">
            <v>lfprod_s1_a1</v>
          </cell>
          <cell r="F94">
            <v>1.8679498434066772</v>
          </cell>
          <cell r="G94">
            <v>3</v>
          </cell>
        </row>
        <row r="95">
          <cell r="A95" t="str">
            <v>BGD</v>
          </cell>
          <cell r="B95" t="str">
            <v>Long</v>
          </cell>
          <cell r="C95" t="str">
            <v>2005 - 2022</v>
          </cell>
          <cell r="D95" t="str">
            <v>med_reg_gdp</v>
          </cell>
          <cell r="E95" t="str">
            <v>lfprod_s1_a2</v>
          </cell>
          <cell r="F95">
            <v>8.3923301696777344</v>
          </cell>
          <cell r="G95">
            <v>3</v>
          </cell>
        </row>
        <row r="96">
          <cell r="A96" t="str">
            <v>BGD</v>
          </cell>
          <cell r="B96" t="str">
            <v>Long</v>
          </cell>
          <cell r="C96" t="str">
            <v>2005 - 2022</v>
          </cell>
          <cell r="D96" t="str">
            <v>med_reg_gdp</v>
          </cell>
          <cell r="E96" t="str">
            <v>lfprod_s1_a3</v>
          </cell>
          <cell r="F96">
            <v>-1.7193464040756226</v>
          </cell>
          <cell r="G96">
            <v>3</v>
          </cell>
        </row>
        <row r="97">
          <cell r="A97" t="str">
            <v>BGD</v>
          </cell>
          <cell r="B97" t="str">
            <v>Long</v>
          </cell>
          <cell r="C97" t="str">
            <v>2005 - 2022</v>
          </cell>
          <cell r="D97" t="str">
            <v>med_reg_iter</v>
          </cell>
          <cell r="E97" t="str">
            <v>lfls12_S0_A0</v>
          </cell>
          <cell r="F97">
            <v>0.359465092420578</v>
          </cell>
          <cell r="G97">
            <v>3</v>
          </cell>
        </row>
        <row r="98">
          <cell r="A98" t="str">
            <v>BGD</v>
          </cell>
          <cell r="B98" t="str">
            <v>Long</v>
          </cell>
          <cell r="C98" t="str">
            <v>2005 - 2022</v>
          </cell>
          <cell r="D98" t="str">
            <v>med_reg_iter</v>
          </cell>
          <cell r="E98" t="str">
            <v>lfls1_S0_A0</v>
          </cell>
          <cell r="F98">
            <v>0.37110373377799988</v>
          </cell>
          <cell r="G98">
            <v>3</v>
          </cell>
        </row>
        <row r="99">
          <cell r="A99" t="str">
            <v>BGD</v>
          </cell>
          <cell r="B99" t="str">
            <v>Long</v>
          </cell>
          <cell r="C99" t="str">
            <v>2005 - 2022</v>
          </cell>
          <cell r="D99" t="str">
            <v>med_reg_iter</v>
          </cell>
          <cell r="E99" t="str">
            <v>lfls1_S0_a1</v>
          </cell>
          <cell r="F99">
            <v>0.30331897735595703</v>
          </cell>
          <cell r="G99">
            <v>3</v>
          </cell>
        </row>
        <row r="100">
          <cell r="A100" t="str">
            <v>BGD</v>
          </cell>
          <cell r="B100" t="str">
            <v>Long</v>
          </cell>
          <cell r="C100" t="str">
            <v>2005 - 2022</v>
          </cell>
          <cell r="D100" t="str">
            <v>med_reg_iter</v>
          </cell>
          <cell r="E100" t="str">
            <v>lfls1_S0_a2</v>
          </cell>
          <cell r="F100">
            <v>-2.281212329864502</v>
          </cell>
          <cell r="G100">
            <v>3</v>
          </cell>
        </row>
        <row r="101">
          <cell r="A101" t="str">
            <v>BGD</v>
          </cell>
          <cell r="B101" t="str">
            <v>Long</v>
          </cell>
          <cell r="C101" t="str">
            <v>2005 - 2022</v>
          </cell>
          <cell r="D101" t="str">
            <v>med_reg_iter</v>
          </cell>
          <cell r="E101" t="str">
            <v>lfls1_S0_a3</v>
          </cell>
          <cell r="F101">
            <v>-8.5422267913818359</v>
          </cell>
          <cell r="G101">
            <v>3</v>
          </cell>
        </row>
        <row r="102">
          <cell r="A102" t="str">
            <v>BGD</v>
          </cell>
          <cell r="B102" t="str">
            <v>Long</v>
          </cell>
          <cell r="C102" t="str">
            <v>2005 - 2022</v>
          </cell>
          <cell r="D102" t="str">
            <v>med_reg_iter</v>
          </cell>
          <cell r="E102" t="str">
            <v>lfls1_s0_A0</v>
          </cell>
          <cell r="F102">
            <v>0.33947250247001648</v>
          </cell>
          <cell r="G102">
            <v>3</v>
          </cell>
        </row>
        <row r="103">
          <cell r="A103" t="str">
            <v>BGD</v>
          </cell>
          <cell r="B103" t="str">
            <v>Long</v>
          </cell>
          <cell r="C103" t="str">
            <v>2005 - 2022</v>
          </cell>
          <cell r="D103" t="str">
            <v>med_reg_iter</v>
          </cell>
          <cell r="E103" t="str">
            <v>lfls1_s0_a1</v>
          </cell>
          <cell r="F103">
            <v>-5.8045792579650879</v>
          </cell>
          <cell r="G103">
            <v>3</v>
          </cell>
        </row>
        <row r="104">
          <cell r="A104" t="str">
            <v>BGD</v>
          </cell>
          <cell r="B104" t="str">
            <v>Long</v>
          </cell>
          <cell r="C104" t="str">
            <v>2005 - 2022</v>
          </cell>
          <cell r="D104" t="str">
            <v>med_reg_iter</v>
          </cell>
          <cell r="E104" t="str">
            <v>lfls1_s0_a2</v>
          </cell>
          <cell r="F104">
            <v>-4.2236099243164063</v>
          </cell>
          <cell r="G104">
            <v>3</v>
          </cell>
        </row>
        <row r="105">
          <cell r="A105" t="str">
            <v>BGD</v>
          </cell>
          <cell r="B105" t="str">
            <v>Long</v>
          </cell>
          <cell r="C105" t="str">
            <v>2005 - 2022</v>
          </cell>
          <cell r="D105" t="str">
            <v>med_reg_iter</v>
          </cell>
          <cell r="E105" t="str">
            <v>lfls1_s0_a3</v>
          </cell>
          <cell r="F105">
            <v>-7.5700645446777344</v>
          </cell>
          <cell r="G105">
            <v>3</v>
          </cell>
        </row>
        <row r="106">
          <cell r="A106" t="str">
            <v>BGD</v>
          </cell>
          <cell r="B106" t="str">
            <v>Long</v>
          </cell>
          <cell r="C106" t="str">
            <v>2005 - 2022</v>
          </cell>
          <cell r="D106" t="str">
            <v>med_reg_iter</v>
          </cell>
          <cell r="E106" t="str">
            <v>lfls1_s1_A0</v>
          </cell>
          <cell r="F106">
            <v>0.44557538628578186</v>
          </cell>
          <cell r="G106">
            <v>3</v>
          </cell>
        </row>
        <row r="107">
          <cell r="A107" t="str">
            <v>BGD</v>
          </cell>
          <cell r="B107" t="str">
            <v>Long</v>
          </cell>
          <cell r="C107" t="str">
            <v>2005 - 2022</v>
          </cell>
          <cell r="D107" t="str">
            <v>med_reg_iter</v>
          </cell>
          <cell r="E107" t="str">
            <v>lfls1_s1_a1</v>
          </cell>
          <cell r="F107">
            <v>2.8679497241973877</v>
          </cell>
          <cell r="G107">
            <v>3</v>
          </cell>
        </row>
        <row r="108">
          <cell r="A108" t="str">
            <v>BGD</v>
          </cell>
          <cell r="B108" t="str">
            <v>Long</v>
          </cell>
          <cell r="C108" t="str">
            <v>2005 - 2022</v>
          </cell>
          <cell r="D108" t="str">
            <v>med_reg_iter</v>
          </cell>
          <cell r="E108" t="str">
            <v>lfls1_s1_a2</v>
          </cell>
          <cell r="F108">
            <v>9.3923301696777344</v>
          </cell>
          <cell r="G108">
            <v>3</v>
          </cell>
        </row>
        <row r="109">
          <cell r="A109" t="str">
            <v>BGD</v>
          </cell>
          <cell r="B109" t="str">
            <v>Long</v>
          </cell>
          <cell r="C109" t="str">
            <v>2005 - 2022</v>
          </cell>
          <cell r="D109" t="str">
            <v>med_reg_iter</v>
          </cell>
          <cell r="E109" t="str">
            <v>lfls1_s1_a3</v>
          </cell>
          <cell r="F109">
            <v>-0.71934640407562256</v>
          </cell>
          <cell r="G109">
            <v>3</v>
          </cell>
        </row>
        <row r="110">
          <cell r="A110" t="str">
            <v>BGD</v>
          </cell>
          <cell r="B110" t="str">
            <v>Long</v>
          </cell>
          <cell r="C110" t="str">
            <v>2005 - 2022</v>
          </cell>
          <cell r="D110" t="str">
            <v>med_reg_iter</v>
          </cell>
          <cell r="E110" t="str">
            <v>lfprod_s0_a1</v>
          </cell>
          <cell r="F110">
            <v>-6.8045792579650879</v>
          </cell>
          <cell r="G110">
            <v>3</v>
          </cell>
        </row>
        <row r="111">
          <cell r="A111" t="str">
            <v>BGD</v>
          </cell>
          <cell r="B111" t="str">
            <v>Long</v>
          </cell>
          <cell r="C111" t="str">
            <v>2005 - 2022</v>
          </cell>
          <cell r="D111" t="str">
            <v>med_reg_iter</v>
          </cell>
          <cell r="E111" t="str">
            <v>lfprod_s0_a2</v>
          </cell>
          <cell r="F111">
            <v>-5.2236099243164063</v>
          </cell>
          <cell r="G111">
            <v>3</v>
          </cell>
        </row>
        <row r="112">
          <cell r="A112" t="str">
            <v>BGD</v>
          </cell>
          <cell r="B112" t="str">
            <v>Long</v>
          </cell>
          <cell r="C112" t="str">
            <v>2005 - 2022</v>
          </cell>
          <cell r="D112" t="str">
            <v>med_reg_iter</v>
          </cell>
          <cell r="E112" t="str">
            <v>lfprod_s0_a3</v>
          </cell>
          <cell r="F112">
            <v>-8.5700645446777344</v>
          </cell>
          <cell r="G112">
            <v>3</v>
          </cell>
        </row>
        <row r="113">
          <cell r="A113" t="str">
            <v>BGD</v>
          </cell>
          <cell r="B113" t="str">
            <v>Long</v>
          </cell>
          <cell r="C113" t="str">
            <v>2005 - 2022</v>
          </cell>
          <cell r="D113" t="str">
            <v>med_reg_iter</v>
          </cell>
          <cell r="E113" t="str">
            <v>lfprod_s1_a1</v>
          </cell>
          <cell r="F113">
            <v>1.8679498434066772</v>
          </cell>
          <cell r="G113">
            <v>3</v>
          </cell>
        </row>
        <row r="114">
          <cell r="A114" t="str">
            <v>BGD</v>
          </cell>
          <cell r="B114" t="str">
            <v>Long</v>
          </cell>
          <cell r="C114" t="str">
            <v>2005 - 2022</v>
          </cell>
          <cell r="D114" t="str">
            <v>med_reg_iter</v>
          </cell>
          <cell r="E114" t="str">
            <v>lfprod_s1_a2</v>
          </cell>
          <cell r="F114">
            <v>8.3923301696777344</v>
          </cell>
          <cell r="G114">
            <v>3</v>
          </cell>
        </row>
        <row r="115">
          <cell r="A115" t="str">
            <v>BGD</v>
          </cell>
          <cell r="B115" t="str">
            <v>Long</v>
          </cell>
          <cell r="C115" t="str">
            <v>2005 - 2022</v>
          </cell>
          <cell r="D115" t="str">
            <v>med_reg_iter</v>
          </cell>
          <cell r="E115" t="str">
            <v>lfprod_s1_a3</v>
          </cell>
          <cell r="F115">
            <v>-1.7193464040756226</v>
          </cell>
          <cell r="G115">
            <v>3</v>
          </cell>
        </row>
        <row r="116">
          <cell r="A116" t="str">
            <v>BGD</v>
          </cell>
          <cell r="B116" t="str">
            <v>Long</v>
          </cell>
          <cell r="C116" t="str">
            <v>2005 - 2022</v>
          </cell>
          <cell r="D116" t="str">
            <v>reg</v>
          </cell>
          <cell r="E116" t="str">
            <v>lfls12_S0_A0</v>
          </cell>
          <cell r="F116">
            <v>0.36932170391082764</v>
          </cell>
          <cell r="G116">
            <v>3</v>
          </cell>
        </row>
        <row r="117">
          <cell r="A117" t="str">
            <v>BGD</v>
          </cell>
          <cell r="B117" t="str">
            <v>Long</v>
          </cell>
          <cell r="C117" t="str">
            <v>2005 - 2022</v>
          </cell>
          <cell r="D117" t="str">
            <v>reg</v>
          </cell>
          <cell r="E117" t="str">
            <v>lfls1_S0_A0</v>
          </cell>
          <cell r="F117">
            <v>0.37071043252944946</v>
          </cell>
          <cell r="G117">
            <v>3</v>
          </cell>
        </row>
        <row r="118">
          <cell r="A118" t="str">
            <v>BGD</v>
          </cell>
          <cell r="B118" t="str">
            <v>Long</v>
          </cell>
          <cell r="C118" t="str">
            <v>2005 - 2022</v>
          </cell>
          <cell r="D118" t="str">
            <v>reg</v>
          </cell>
          <cell r="E118" t="str">
            <v>lfls1_S0_a1</v>
          </cell>
          <cell r="F118">
            <v>0.36577045917510986</v>
          </cell>
          <cell r="G118">
            <v>3</v>
          </cell>
        </row>
        <row r="119">
          <cell r="A119" t="str">
            <v>BGD</v>
          </cell>
          <cell r="B119" t="str">
            <v>Long</v>
          </cell>
          <cell r="C119" t="str">
            <v>2005 - 2022</v>
          </cell>
          <cell r="D119" t="str">
            <v>reg</v>
          </cell>
          <cell r="E119" t="str">
            <v>lfls1_S0_a2</v>
          </cell>
          <cell r="F119">
            <v>0.38047227263450623</v>
          </cell>
          <cell r="G119">
            <v>3</v>
          </cell>
        </row>
        <row r="120">
          <cell r="A120" t="str">
            <v>BGD</v>
          </cell>
          <cell r="B120" t="str">
            <v>Long</v>
          </cell>
          <cell r="C120" t="str">
            <v>2005 - 2022</v>
          </cell>
          <cell r="D120" t="str">
            <v>reg</v>
          </cell>
          <cell r="E120" t="str">
            <v>lfls1_S0_a3</v>
          </cell>
          <cell r="F120">
            <v>0.53285741806030273</v>
          </cell>
          <cell r="G120">
            <v>3</v>
          </cell>
        </row>
        <row r="121">
          <cell r="A121" t="str">
            <v>BGD</v>
          </cell>
          <cell r="B121" t="str">
            <v>Long</v>
          </cell>
          <cell r="C121" t="str">
            <v>2005 - 2022</v>
          </cell>
          <cell r="D121" t="str">
            <v>reg</v>
          </cell>
          <cell r="E121" t="str">
            <v>lfls1_s0_A0</v>
          </cell>
          <cell r="F121">
            <v>0.36951625347137451</v>
          </cell>
          <cell r="G121">
            <v>3</v>
          </cell>
        </row>
        <row r="122">
          <cell r="A122" t="str">
            <v>BGD</v>
          </cell>
          <cell r="B122" t="str">
            <v>Long</v>
          </cell>
          <cell r="C122" t="str">
            <v>2005 - 2022</v>
          </cell>
          <cell r="D122" t="str">
            <v>reg</v>
          </cell>
          <cell r="E122" t="str">
            <v>lfls1_s0_a1</v>
          </cell>
          <cell r="F122">
            <v>0.47505542635917664</v>
          </cell>
          <cell r="G122">
            <v>3</v>
          </cell>
        </row>
        <row r="123">
          <cell r="A123" t="str">
            <v>BGD</v>
          </cell>
          <cell r="B123" t="str">
            <v>Long</v>
          </cell>
          <cell r="C123" t="str">
            <v>2005 - 2022</v>
          </cell>
          <cell r="D123" t="str">
            <v>reg</v>
          </cell>
          <cell r="E123" t="str">
            <v>lfls1_s0_a2</v>
          </cell>
          <cell r="F123">
            <v>0.35379263758659363</v>
          </cell>
          <cell r="G123">
            <v>3</v>
          </cell>
        </row>
        <row r="124">
          <cell r="A124" t="str">
            <v>BGD</v>
          </cell>
          <cell r="B124" t="str">
            <v>Long</v>
          </cell>
          <cell r="C124" t="str">
            <v>2005 - 2022</v>
          </cell>
          <cell r="D124" t="str">
            <v>reg</v>
          </cell>
          <cell r="E124" t="str">
            <v>lfls1_s0_a3</v>
          </cell>
          <cell r="F124">
            <v>0.3704301118850708</v>
          </cell>
          <cell r="G124">
            <v>3</v>
          </cell>
        </row>
        <row r="125">
          <cell r="A125" t="str">
            <v>BGD</v>
          </cell>
          <cell r="B125" t="str">
            <v>Long</v>
          </cell>
          <cell r="C125" t="str">
            <v>2005 - 2022</v>
          </cell>
          <cell r="D125" t="str">
            <v>reg</v>
          </cell>
          <cell r="E125" t="str">
            <v>lfls1_s1_A0</v>
          </cell>
          <cell r="F125">
            <v>0.43483832478523254</v>
          </cell>
          <cell r="G125">
            <v>3</v>
          </cell>
        </row>
        <row r="126">
          <cell r="A126" t="str">
            <v>BGD</v>
          </cell>
          <cell r="B126" t="str">
            <v>Long</v>
          </cell>
          <cell r="C126" t="str">
            <v>2005 - 2022</v>
          </cell>
          <cell r="D126" t="str">
            <v>reg</v>
          </cell>
          <cell r="E126" t="str">
            <v>lfls1_s1_a1</v>
          </cell>
          <cell r="F126">
            <v>0.28195315599441528</v>
          </cell>
          <cell r="G126">
            <v>3</v>
          </cell>
        </row>
        <row r="127">
          <cell r="A127" t="str">
            <v>BGD</v>
          </cell>
          <cell r="B127" t="str">
            <v>Long</v>
          </cell>
          <cell r="C127" t="str">
            <v>2005 - 2022</v>
          </cell>
          <cell r="D127" t="str">
            <v>reg</v>
          </cell>
          <cell r="E127" t="str">
            <v>lfls1_s1_a2</v>
          </cell>
          <cell r="F127">
            <v>0.75476574897766113</v>
          </cell>
          <cell r="G127">
            <v>3</v>
          </cell>
        </row>
        <row r="128">
          <cell r="A128" t="str">
            <v>BGD</v>
          </cell>
          <cell r="B128" t="str">
            <v>Long</v>
          </cell>
          <cell r="C128" t="str">
            <v>2005 - 2022</v>
          </cell>
          <cell r="D128" t="str">
            <v>reg</v>
          </cell>
          <cell r="E128" t="str">
            <v>lfls1_s1_a3</v>
          </cell>
          <cell r="F128">
            <v>1.2855267524719238</v>
          </cell>
          <cell r="G128">
            <v>3</v>
          </cell>
        </row>
        <row r="129">
          <cell r="A129" t="str">
            <v>BGD</v>
          </cell>
          <cell r="B129" t="str">
            <v>Long</v>
          </cell>
          <cell r="C129" t="str">
            <v>2005 - 2022</v>
          </cell>
          <cell r="D129" t="str">
            <v>reg</v>
          </cell>
          <cell r="E129" t="str">
            <v>lfprod_s0_a1</v>
          </cell>
          <cell r="F129">
            <v>-0.52494460344314575</v>
          </cell>
          <cell r="G129">
            <v>3</v>
          </cell>
        </row>
        <row r="130">
          <cell r="A130" t="str">
            <v>BGD</v>
          </cell>
          <cell r="B130" t="str">
            <v>Long</v>
          </cell>
          <cell r="C130" t="str">
            <v>2005 - 2022</v>
          </cell>
          <cell r="D130" t="str">
            <v>reg</v>
          </cell>
          <cell r="E130" t="str">
            <v>lfprod_s0_a2</v>
          </cell>
          <cell r="F130">
            <v>-0.64620739221572876</v>
          </cell>
          <cell r="G130">
            <v>3</v>
          </cell>
        </row>
        <row r="131">
          <cell r="A131" t="str">
            <v>BGD</v>
          </cell>
          <cell r="B131" t="str">
            <v>Long</v>
          </cell>
          <cell r="C131" t="str">
            <v>2005 - 2022</v>
          </cell>
          <cell r="D131" t="str">
            <v>reg</v>
          </cell>
          <cell r="E131" t="str">
            <v>lfprod_s0_a3</v>
          </cell>
          <cell r="F131">
            <v>-0.6295698881149292</v>
          </cell>
          <cell r="G131">
            <v>3</v>
          </cell>
        </row>
        <row r="132">
          <cell r="A132" t="str">
            <v>BGD</v>
          </cell>
          <cell r="B132" t="str">
            <v>Long</v>
          </cell>
          <cell r="C132" t="str">
            <v>2005 - 2022</v>
          </cell>
          <cell r="D132" t="str">
            <v>reg</v>
          </cell>
          <cell r="E132" t="str">
            <v>lfprod_s1_a1</v>
          </cell>
          <cell r="F132">
            <v>-0.71804684400558472</v>
          </cell>
          <cell r="G132">
            <v>3</v>
          </cell>
        </row>
        <row r="133">
          <cell r="A133" t="str">
            <v>BGD</v>
          </cell>
          <cell r="B133" t="str">
            <v>Long</v>
          </cell>
          <cell r="C133" t="str">
            <v>2005 - 2022</v>
          </cell>
          <cell r="D133" t="str">
            <v>reg</v>
          </cell>
          <cell r="E133" t="str">
            <v>lfprod_s1_a2</v>
          </cell>
          <cell r="F133">
            <v>-0.24523423612117767</v>
          </cell>
          <cell r="G133">
            <v>3</v>
          </cell>
        </row>
        <row r="134">
          <cell r="A134" t="str">
            <v>BGD</v>
          </cell>
          <cell r="B134" t="str">
            <v>Long</v>
          </cell>
          <cell r="C134" t="str">
            <v>2005 - 2022</v>
          </cell>
          <cell r="D134" t="str">
            <v>reg</v>
          </cell>
          <cell r="E134" t="str">
            <v>lfprod_s1_a3</v>
          </cell>
          <cell r="F134">
            <v>0.28552675247192383</v>
          </cell>
          <cell r="G134">
            <v>3</v>
          </cell>
        </row>
        <row r="135">
          <cell r="A135" t="str">
            <v>BGD</v>
          </cell>
          <cell r="B135" t="str">
            <v>Long</v>
          </cell>
          <cell r="C135" t="str">
            <v>2005 - 2022</v>
          </cell>
          <cell r="D135" t="str">
            <v>reg_gdp</v>
          </cell>
          <cell r="E135" t="str">
            <v>lfls12_S0_A0</v>
          </cell>
          <cell r="F135">
            <v>0.36932170391082764</v>
          </cell>
          <cell r="G135">
            <v>3</v>
          </cell>
        </row>
        <row r="136">
          <cell r="A136" t="str">
            <v>BGD</v>
          </cell>
          <cell r="B136" t="str">
            <v>Long</v>
          </cell>
          <cell r="C136" t="str">
            <v>2005 - 2022</v>
          </cell>
          <cell r="D136" t="str">
            <v>reg_gdp</v>
          </cell>
          <cell r="E136" t="str">
            <v>lfls1_S0_A0</v>
          </cell>
          <cell r="F136">
            <v>0.37071043252944946</v>
          </cell>
          <cell r="G136">
            <v>3</v>
          </cell>
        </row>
        <row r="137">
          <cell r="A137" t="str">
            <v>BGD</v>
          </cell>
          <cell r="B137" t="str">
            <v>Long</v>
          </cell>
          <cell r="C137" t="str">
            <v>2005 - 2022</v>
          </cell>
          <cell r="D137" t="str">
            <v>reg_gdp</v>
          </cell>
          <cell r="E137" t="str">
            <v>lfls1_S0_a1</v>
          </cell>
          <cell r="F137">
            <v>0.30950301885604858</v>
          </cell>
          <cell r="G137">
            <v>3</v>
          </cell>
        </row>
        <row r="138">
          <cell r="A138" t="str">
            <v>BGD</v>
          </cell>
          <cell r="B138" t="str">
            <v>Long</v>
          </cell>
          <cell r="C138" t="str">
            <v>2005 - 2022</v>
          </cell>
          <cell r="D138" t="str">
            <v>reg_gdp</v>
          </cell>
          <cell r="E138" t="str">
            <v>lfls1_S0_a2</v>
          </cell>
          <cell r="F138">
            <v>-2.4726812839508057</v>
          </cell>
          <cell r="G138">
            <v>3</v>
          </cell>
        </row>
        <row r="139">
          <cell r="A139" t="str">
            <v>BGD</v>
          </cell>
          <cell r="B139" t="str">
            <v>Long</v>
          </cell>
          <cell r="C139" t="str">
            <v>2005 - 2022</v>
          </cell>
          <cell r="D139" t="str">
            <v>reg_gdp</v>
          </cell>
          <cell r="E139" t="str">
            <v>lfls1_S0_a3</v>
          </cell>
          <cell r="F139">
            <v>-6.6156702041625977</v>
          </cell>
          <cell r="G139">
            <v>3</v>
          </cell>
        </row>
        <row r="140">
          <cell r="A140" t="str">
            <v>BGD</v>
          </cell>
          <cell r="B140" t="str">
            <v>Long</v>
          </cell>
          <cell r="C140" t="str">
            <v>2005 - 2022</v>
          </cell>
          <cell r="D140" t="str">
            <v>reg_gdp</v>
          </cell>
          <cell r="E140" t="str">
            <v>lfls1_s0_A0</v>
          </cell>
          <cell r="F140">
            <v>0.36951625347137451</v>
          </cell>
          <cell r="G140">
            <v>3</v>
          </cell>
        </row>
        <row r="141">
          <cell r="A141" t="str">
            <v>BGD</v>
          </cell>
          <cell r="B141" t="str">
            <v>Long</v>
          </cell>
          <cell r="C141" t="str">
            <v>2005 - 2022</v>
          </cell>
          <cell r="D141" t="str">
            <v>reg_gdp</v>
          </cell>
          <cell r="E141" t="str">
            <v>lfls1_s0_a1</v>
          </cell>
          <cell r="F141">
            <v>-0.53788930177688599</v>
          </cell>
          <cell r="G141">
            <v>3</v>
          </cell>
        </row>
        <row r="142">
          <cell r="A142" t="str">
            <v>BGD</v>
          </cell>
          <cell r="B142" t="str">
            <v>Long</v>
          </cell>
          <cell r="C142" t="str">
            <v>2005 - 2022</v>
          </cell>
          <cell r="D142" t="str">
            <v>reg_gdp</v>
          </cell>
          <cell r="E142" t="str">
            <v>lfls1_s0_a2</v>
          </cell>
          <cell r="F142">
            <v>-3.2283270359039307</v>
          </cell>
          <cell r="G142">
            <v>3</v>
          </cell>
        </row>
        <row r="143">
          <cell r="A143" t="str">
            <v>BGD</v>
          </cell>
          <cell r="B143" t="str">
            <v>Long</v>
          </cell>
          <cell r="C143" t="str">
            <v>2005 - 2022</v>
          </cell>
          <cell r="D143" t="str">
            <v>reg_gdp</v>
          </cell>
          <cell r="E143" t="str">
            <v>lfls1_s0_a3</v>
          </cell>
          <cell r="F143">
            <v>-5.8772344589233398</v>
          </cell>
          <cell r="G143">
            <v>3</v>
          </cell>
        </row>
        <row r="144">
          <cell r="A144" t="str">
            <v>BGD</v>
          </cell>
          <cell r="B144" t="str">
            <v>Long</v>
          </cell>
          <cell r="C144" t="str">
            <v>2005 - 2022</v>
          </cell>
          <cell r="D144" t="str">
            <v>reg_gdp</v>
          </cell>
          <cell r="E144" t="str">
            <v>lfls1_s1_A0</v>
          </cell>
          <cell r="F144">
            <v>0.43483832478523254</v>
          </cell>
          <cell r="G144">
            <v>3</v>
          </cell>
        </row>
        <row r="145">
          <cell r="A145" t="str">
            <v>BGD</v>
          </cell>
          <cell r="B145" t="str">
            <v>Long</v>
          </cell>
          <cell r="C145" t="str">
            <v>2005 - 2022</v>
          </cell>
          <cell r="D145" t="str">
            <v>reg_gdp</v>
          </cell>
          <cell r="E145" t="str">
            <v>lfls1_s1_a1</v>
          </cell>
          <cell r="F145">
            <v>-0.51990371942520142</v>
          </cell>
          <cell r="G145">
            <v>3</v>
          </cell>
        </row>
        <row r="146">
          <cell r="A146" t="str">
            <v>BGD</v>
          </cell>
          <cell r="B146" t="str">
            <v>Long</v>
          </cell>
          <cell r="C146" t="str">
            <v>2005 - 2022</v>
          </cell>
          <cell r="D146" t="str">
            <v>reg_gdp</v>
          </cell>
          <cell r="E146" t="str">
            <v>lfls1_s1_a2</v>
          </cell>
          <cell r="F146">
            <v>9.588592529296875</v>
          </cell>
          <cell r="G146">
            <v>3</v>
          </cell>
        </row>
        <row r="147">
          <cell r="A147" t="str">
            <v>BGD</v>
          </cell>
          <cell r="B147" t="str">
            <v>Long</v>
          </cell>
          <cell r="C147" t="str">
            <v>2005 - 2022</v>
          </cell>
          <cell r="D147" t="str">
            <v>reg_gdp</v>
          </cell>
          <cell r="E147" t="str">
            <v>lfls1_s1_a3</v>
          </cell>
          <cell r="F147">
            <v>-3.162362813949585</v>
          </cell>
          <cell r="G147">
            <v>3</v>
          </cell>
        </row>
        <row r="148">
          <cell r="A148" t="str">
            <v>BGD</v>
          </cell>
          <cell r="B148" t="str">
            <v>Long</v>
          </cell>
          <cell r="C148" t="str">
            <v>2005 - 2022</v>
          </cell>
          <cell r="D148" t="str">
            <v>reg_gdp</v>
          </cell>
          <cell r="E148" t="str">
            <v>lfprod_s0_a1</v>
          </cell>
          <cell r="F148">
            <v>-1.5378892421722412</v>
          </cell>
          <cell r="G148">
            <v>3</v>
          </cell>
        </row>
        <row r="149">
          <cell r="A149" t="str">
            <v>BGD</v>
          </cell>
          <cell r="B149" t="str">
            <v>Long</v>
          </cell>
          <cell r="C149" t="str">
            <v>2005 - 2022</v>
          </cell>
          <cell r="D149" t="str">
            <v>reg_gdp</v>
          </cell>
          <cell r="E149" t="str">
            <v>lfprod_s0_a2</v>
          </cell>
          <cell r="F149">
            <v>-4.2283267974853516</v>
          </cell>
          <cell r="G149">
            <v>3</v>
          </cell>
        </row>
        <row r="150">
          <cell r="A150" t="str">
            <v>BGD</v>
          </cell>
          <cell r="B150" t="str">
            <v>Long</v>
          </cell>
          <cell r="C150" t="str">
            <v>2005 - 2022</v>
          </cell>
          <cell r="D150" t="str">
            <v>reg_gdp</v>
          </cell>
          <cell r="E150" t="str">
            <v>lfprod_s0_a3</v>
          </cell>
          <cell r="F150">
            <v>-6.8772344589233398</v>
          </cell>
          <cell r="G150">
            <v>3</v>
          </cell>
        </row>
        <row r="151">
          <cell r="A151" t="str">
            <v>BGD</v>
          </cell>
          <cell r="B151" t="str">
            <v>Long</v>
          </cell>
          <cell r="C151" t="str">
            <v>2005 - 2022</v>
          </cell>
          <cell r="D151" t="str">
            <v>reg_gdp</v>
          </cell>
          <cell r="E151" t="str">
            <v>lfprod_s1_a1</v>
          </cell>
          <cell r="F151">
            <v>-1.5199037790298462</v>
          </cell>
          <cell r="G151">
            <v>3</v>
          </cell>
        </row>
        <row r="152">
          <cell r="A152" t="str">
            <v>BGD</v>
          </cell>
          <cell r="B152" t="str">
            <v>Long</v>
          </cell>
          <cell r="C152" t="str">
            <v>2005 - 2022</v>
          </cell>
          <cell r="D152" t="str">
            <v>reg_gdp</v>
          </cell>
          <cell r="E152" t="str">
            <v>lfprod_s1_a2</v>
          </cell>
          <cell r="F152">
            <v>8.588592529296875</v>
          </cell>
          <cell r="G152">
            <v>3</v>
          </cell>
        </row>
        <row r="153">
          <cell r="A153" t="str">
            <v>BGD</v>
          </cell>
          <cell r="B153" t="str">
            <v>Long</v>
          </cell>
          <cell r="C153" t="str">
            <v>2005 - 2022</v>
          </cell>
          <cell r="D153" t="str">
            <v>reg_gdp</v>
          </cell>
          <cell r="E153" t="str">
            <v>lfprod_s1_a3</v>
          </cell>
          <cell r="F153">
            <v>-4.1623630523681641</v>
          </cell>
          <cell r="G153">
            <v>3</v>
          </cell>
        </row>
        <row r="154">
          <cell r="A154" t="str">
            <v>BGD</v>
          </cell>
          <cell r="B154" t="str">
            <v>Long</v>
          </cell>
          <cell r="C154" t="str">
            <v>2005 - 2022</v>
          </cell>
          <cell r="D154" t="str">
            <v>reg_iter</v>
          </cell>
          <cell r="E154" t="str">
            <v>lfls12_S0_A0</v>
          </cell>
          <cell r="F154">
            <v>0.36932170391082764</v>
          </cell>
          <cell r="G154">
            <v>3</v>
          </cell>
        </row>
        <row r="155">
          <cell r="A155" t="str">
            <v>BGD</v>
          </cell>
          <cell r="B155" t="str">
            <v>Long</v>
          </cell>
          <cell r="C155" t="str">
            <v>2005 - 2022</v>
          </cell>
          <cell r="D155" t="str">
            <v>reg_iter</v>
          </cell>
          <cell r="E155" t="str">
            <v>lfls1_S0_A0</v>
          </cell>
          <cell r="F155">
            <v>0.37071043252944946</v>
          </cell>
          <cell r="G155">
            <v>3</v>
          </cell>
        </row>
        <row r="156">
          <cell r="A156" t="str">
            <v>BGD</v>
          </cell>
          <cell r="B156" t="str">
            <v>Long</v>
          </cell>
          <cell r="C156" t="str">
            <v>2005 - 2022</v>
          </cell>
          <cell r="D156" t="str">
            <v>reg_iter</v>
          </cell>
          <cell r="E156" t="str">
            <v>lfls1_S0_a1</v>
          </cell>
          <cell r="F156">
            <v>0.30950301885604858</v>
          </cell>
          <cell r="G156">
            <v>3</v>
          </cell>
        </row>
        <row r="157">
          <cell r="A157" t="str">
            <v>BGD</v>
          </cell>
          <cell r="B157" t="str">
            <v>Long</v>
          </cell>
          <cell r="C157" t="str">
            <v>2005 - 2022</v>
          </cell>
          <cell r="D157" t="str">
            <v>reg_iter</v>
          </cell>
          <cell r="E157" t="str">
            <v>lfls1_S0_a2</v>
          </cell>
          <cell r="F157">
            <v>-2.4726812839508057</v>
          </cell>
          <cell r="G157">
            <v>3</v>
          </cell>
        </row>
        <row r="158">
          <cell r="A158" t="str">
            <v>BGD</v>
          </cell>
          <cell r="B158" t="str">
            <v>Long</v>
          </cell>
          <cell r="C158" t="str">
            <v>2005 - 2022</v>
          </cell>
          <cell r="D158" t="str">
            <v>reg_iter</v>
          </cell>
          <cell r="E158" t="str">
            <v>lfls1_S0_a3</v>
          </cell>
          <cell r="F158">
            <v>-6.6156702041625977</v>
          </cell>
          <cell r="G158">
            <v>3</v>
          </cell>
        </row>
        <row r="159">
          <cell r="A159" t="str">
            <v>BGD</v>
          </cell>
          <cell r="B159" t="str">
            <v>Long</v>
          </cell>
          <cell r="C159" t="str">
            <v>2005 - 2022</v>
          </cell>
          <cell r="D159" t="str">
            <v>reg_iter</v>
          </cell>
          <cell r="E159" t="str">
            <v>lfls1_s0_A0</v>
          </cell>
          <cell r="F159">
            <v>0.36951625347137451</v>
          </cell>
          <cell r="G159">
            <v>3</v>
          </cell>
        </row>
        <row r="160">
          <cell r="A160" t="str">
            <v>BGD</v>
          </cell>
          <cell r="B160" t="str">
            <v>Long</v>
          </cell>
          <cell r="C160" t="str">
            <v>2005 - 2022</v>
          </cell>
          <cell r="D160" t="str">
            <v>reg_iter</v>
          </cell>
          <cell r="E160" t="str">
            <v>lfls1_s0_a1</v>
          </cell>
          <cell r="F160">
            <v>-0.53788930177688599</v>
          </cell>
          <cell r="G160">
            <v>3</v>
          </cell>
        </row>
        <row r="161">
          <cell r="A161" t="str">
            <v>BGD</v>
          </cell>
          <cell r="B161" t="str">
            <v>Long</v>
          </cell>
          <cell r="C161" t="str">
            <v>2005 - 2022</v>
          </cell>
          <cell r="D161" t="str">
            <v>reg_iter</v>
          </cell>
          <cell r="E161" t="str">
            <v>lfls1_s0_a2</v>
          </cell>
          <cell r="F161">
            <v>-3.2283270359039307</v>
          </cell>
          <cell r="G161">
            <v>3</v>
          </cell>
        </row>
        <row r="162">
          <cell r="A162" t="str">
            <v>BGD</v>
          </cell>
          <cell r="B162" t="str">
            <v>Long</v>
          </cell>
          <cell r="C162" t="str">
            <v>2005 - 2022</v>
          </cell>
          <cell r="D162" t="str">
            <v>reg_iter</v>
          </cell>
          <cell r="E162" t="str">
            <v>lfls1_s0_a3</v>
          </cell>
          <cell r="F162">
            <v>-5.8772344589233398</v>
          </cell>
          <cell r="G162">
            <v>3</v>
          </cell>
        </row>
        <row r="163">
          <cell r="A163" t="str">
            <v>BGD</v>
          </cell>
          <cell r="B163" t="str">
            <v>Long</v>
          </cell>
          <cell r="C163" t="str">
            <v>2005 - 2022</v>
          </cell>
          <cell r="D163" t="str">
            <v>reg_iter</v>
          </cell>
          <cell r="E163" t="str">
            <v>lfls1_s1_A0</v>
          </cell>
          <cell r="F163">
            <v>0.43483832478523254</v>
          </cell>
          <cell r="G163">
            <v>3</v>
          </cell>
        </row>
        <row r="164">
          <cell r="A164" t="str">
            <v>BGD</v>
          </cell>
          <cell r="B164" t="str">
            <v>Long</v>
          </cell>
          <cell r="C164" t="str">
            <v>2005 - 2022</v>
          </cell>
          <cell r="D164" t="str">
            <v>reg_iter</v>
          </cell>
          <cell r="E164" t="str">
            <v>lfls1_s1_a1</v>
          </cell>
          <cell r="F164">
            <v>-0.51990371942520142</v>
          </cell>
          <cell r="G164">
            <v>3</v>
          </cell>
        </row>
        <row r="165">
          <cell r="A165" t="str">
            <v>BGD</v>
          </cell>
          <cell r="B165" t="str">
            <v>Long</v>
          </cell>
          <cell r="C165" t="str">
            <v>2005 - 2022</v>
          </cell>
          <cell r="D165" t="str">
            <v>reg_iter</v>
          </cell>
          <cell r="E165" t="str">
            <v>lfls1_s1_a2</v>
          </cell>
          <cell r="F165">
            <v>9.588592529296875</v>
          </cell>
          <cell r="G165">
            <v>3</v>
          </cell>
        </row>
        <row r="166">
          <cell r="A166" t="str">
            <v>BGD</v>
          </cell>
          <cell r="B166" t="str">
            <v>Long</v>
          </cell>
          <cell r="C166" t="str">
            <v>2005 - 2022</v>
          </cell>
          <cell r="D166" t="str">
            <v>reg_iter</v>
          </cell>
          <cell r="E166" t="str">
            <v>lfls1_s1_a3</v>
          </cell>
          <cell r="F166">
            <v>-3.162362813949585</v>
          </cell>
          <cell r="G166">
            <v>3</v>
          </cell>
        </row>
        <row r="167">
          <cell r="A167" t="str">
            <v>BGD</v>
          </cell>
          <cell r="B167" t="str">
            <v>Long</v>
          </cell>
          <cell r="C167" t="str">
            <v>2005 - 2022</v>
          </cell>
          <cell r="D167" t="str">
            <v>reg_iter</v>
          </cell>
          <cell r="E167" t="str">
            <v>lfprod_s0_a1</v>
          </cell>
          <cell r="F167">
            <v>-1.5378892421722412</v>
          </cell>
          <cell r="G167">
            <v>3</v>
          </cell>
        </row>
        <row r="168">
          <cell r="A168" t="str">
            <v>BGD</v>
          </cell>
          <cell r="B168" t="str">
            <v>Long</v>
          </cell>
          <cell r="C168" t="str">
            <v>2005 - 2022</v>
          </cell>
          <cell r="D168" t="str">
            <v>reg_iter</v>
          </cell>
          <cell r="E168" t="str">
            <v>lfprod_s0_a2</v>
          </cell>
          <cell r="F168">
            <v>-4.2283267974853516</v>
          </cell>
          <cell r="G168">
            <v>3</v>
          </cell>
        </row>
        <row r="169">
          <cell r="A169" t="str">
            <v>BGD</v>
          </cell>
          <cell r="B169" t="str">
            <v>Long</v>
          </cell>
          <cell r="C169" t="str">
            <v>2005 - 2022</v>
          </cell>
          <cell r="D169" t="str">
            <v>reg_iter</v>
          </cell>
          <cell r="E169" t="str">
            <v>lfprod_s0_a3</v>
          </cell>
          <cell r="F169">
            <v>-6.8772344589233398</v>
          </cell>
          <cell r="G169">
            <v>3</v>
          </cell>
        </row>
        <row r="170">
          <cell r="A170" t="str">
            <v>BGD</v>
          </cell>
          <cell r="B170" t="str">
            <v>Long</v>
          </cell>
          <cell r="C170" t="str">
            <v>2005 - 2022</v>
          </cell>
          <cell r="D170" t="str">
            <v>reg_iter</v>
          </cell>
          <cell r="E170" t="str">
            <v>lfprod_s1_a1</v>
          </cell>
          <cell r="F170">
            <v>-1.5199037790298462</v>
          </cell>
          <cell r="G170">
            <v>3</v>
          </cell>
        </row>
        <row r="171">
          <cell r="A171" t="str">
            <v>BGD</v>
          </cell>
          <cell r="B171" t="str">
            <v>Long</v>
          </cell>
          <cell r="C171" t="str">
            <v>2005 - 2022</v>
          </cell>
          <cell r="D171" t="str">
            <v>reg_iter</v>
          </cell>
          <cell r="E171" t="str">
            <v>lfprod_s1_a2</v>
          </cell>
          <cell r="F171">
            <v>8.588592529296875</v>
          </cell>
          <cell r="G171">
            <v>3</v>
          </cell>
        </row>
        <row r="172">
          <cell r="A172" t="str">
            <v>BGD</v>
          </cell>
          <cell r="B172" t="str">
            <v>Long</v>
          </cell>
          <cell r="C172" t="str">
            <v>2005 - 2022</v>
          </cell>
          <cell r="D172" t="str">
            <v>reg_iter</v>
          </cell>
          <cell r="E172" t="str">
            <v>lfprod_s1_a3</v>
          </cell>
          <cell r="F172">
            <v>-4.1623630523681641</v>
          </cell>
          <cell r="G172">
            <v>3</v>
          </cell>
        </row>
        <row r="173">
          <cell r="A173" t="str">
            <v>BGD</v>
          </cell>
          <cell r="B173" t="str">
            <v>Middle</v>
          </cell>
          <cell r="C173" t="str">
            <v>2010 - 2022</v>
          </cell>
          <cell r="D173" t="str">
            <v>avg</v>
          </cell>
          <cell r="E173" t="str">
            <v>lfls12_S0_A0</v>
          </cell>
          <cell r="F173">
            <v>0.34328985214233398</v>
          </cell>
          <cell r="G173">
            <v>3</v>
          </cell>
        </row>
        <row r="174">
          <cell r="A174" t="str">
            <v>BGD</v>
          </cell>
          <cell r="B174" t="str">
            <v>Middle</v>
          </cell>
          <cell r="C174" t="str">
            <v>2010 - 2022</v>
          </cell>
          <cell r="D174" t="str">
            <v>avg</v>
          </cell>
          <cell r="E174" t="str">
            <v>lfls1_S0_A0</v>
          </cell>
          <cell r="F174">
            <v>0.33396664261817932</v>
          </cell>
          <cell r="G174">
            <v>3</v>
          </cell>
        </row>
        <row r="175">
          <cell r="A175" t="str">
            <v>BGD</v>
          </cell>
          <cell r="B175" t="str">
            <v>Middle</v>
          </cell>
          <cell r="C175" t="str">
            <v>2010 - 2022</v>
          </cell>
          <cell r="D175" t="str">
            <v>avg</v>
          </cell>
          <cell r="E175" t="str">
            <v>lfls1_S0_a1</v>
          </cell>
          <cell r="F175">
            <v>0.30467352271080017</v>
          </cell>
          <cell r="G175">
            <v>3</v>
          </cell>
        </row>
        <row r="176">
          <cell r="A176" t="str">
            <v>BGD</v>
          </cell>
          <cell r="B176" t="str">
            <v>Middle</v>
          </cell>
          <cell r="C176" t="str">
            <v>2010 - 2022</v>
          </cell>
          <cell r="D176" t="str">
            <v>avg</v>
          </cell>
          <cell r="E176" t="str">
            <v>lfls1_S0_a2</v>
          </cell>
          <cell r="F176">
            <v>0.36990603804588318</v>
          </cell>
          <cell r="G176">
            <v>3</v>
          </cell>
        </row>
        <row r="177">
          <cell r="A177" t="str">
            <v>BGD</v>
          </cell>
          <cell r="B177" t="str">
            <v>Middle</v>
          </cell>
          <cell r="C177" t="str">
            <v>2010 - 2022</v>
          </cell>
          <cell r="D177" t="str">
            <v>avg</v>
          </cell>
          <cell r="E177" t="str">
            <v>lfls1_S0_a3</v>
          </cell>
          <cell r="F177">
            <v>0.63533174991607666</v>
          </cell>
          <cell r="G177">
            <v>3</v>
          </cell>
        </row>
        <row r="178">
          <cell r="A178" t="str">
            <v>BGD</v>
          </cell>
          <cell r="B178" t="str">
            <v>Middle</v>
          </cell>
          <cell r="C178" t="str">
            <v>2010 - 2022</v>
          </cell>
          <cell r="D178" t="str">
            <v>avg</v>
          </cell>
          <cell r="E178" t="str">
            <v>lfls1_s0_A0</v>
          </cell>
          <cell r="F178">
            <v>0.42584553360939026</v>
          </cell>
          <cell r="G178">
            <v>3</v>
          </cell>
        </row>
        <row r="179">
          <cell r="A179" t="str">
            <v>BGD</v>
          </cell>
          <cell r="B179" t="str">
            <v>Middle</v>
          </cell>
          <cell r="C179" t="str">
            <v>2010 - 2022</v>
          </cell>
          <cell r="D179" t="str">
            <v>avg</v>
          </cell>
          <cell r="E179" t="str">
            <v>lfls1_s0_a1</v>
          </cell>
          <cell r="F179">
            <v>2.3513119220733643</v>
          </cell>
          <cell r="G179">
            <v>3</v>
          </cell>
        </row>
        <row r="180">
          <cell r="A180" t="str">
            <v>BGD</v>
          </cell>
          <cell r="B180" t="str">
            <v>Middle</v>
          </cell>
          <cell r="C180" t="str">
            <v>2010 - 2022</v>
          </cell>
          <cell r="D180" t="str">
            <v>avg</v>
          </cell>
          <cell r="E180" t="str">
            <v>lfls1_s0_a2</v>
          </cell>
          <cell r="F180">
            <v>0.33621832728385925</v>
          </cell>
          <cell r="G180">
            <v>3</v>
          </cell>
        </row>
        <row r="181">
          <cell r="A181" t="str">
            <v>BGD</v>
          </cell>
          <cell r="B181" t="str">
            <v>Middle</v>
          </cell>
          <cell r="C181" t="str">
            <v>2010 - 2022</v>
          </cell>
          <cell r="D181" t="str">
            <v>avg</v>
          </cell>
          <cell r="E181" t="str">
            <v>lfls1_s0_a3</v>
          </cell>
          <cell r="F181">
            <v>0.54669183492660522</v>
          </cell>
          <cell r="G181">
            <v>3</v>
          </cell>
        </row>
        <row r="182">
          <cell r="A182" t="str">
            <v>BGD</v>
          </cell>
          <cell r="B182" t="str">
            <v>Middle</v>
          </cell>
          <cell r="C182" t="str">
            <v>2010 - 2022</v>
          </cell>
          <cell r="D182" t="str">
            <v>avg</v>
          </cell>
          <cell r="E182" t="str">
            <v>lfls1_s1_A0</v>
          </cell>
          <cell r="F182">
            <v>1.1051839590072632</v>
          </cell>
          <cell r="G182">
            <v>3</v>
          </cell>
        </row>
        <row r="183">
          <cell r="A183" t="str">
            <v>BGD</v>
          </cell>
          <cell r="B183" t="str">
            <v>Middle</v>
          </cell>
          <cell r="C183" t="str">
            <v>2010 - 2022</v>
          </cell>
          <cell r="D183" t="str">
            <v>avg</v>
          </cell>
          <cell r="E183" t="str">
            <v>lfls1_s1_a1</v>
          </cell>
          <cell r="F183">
            <v>2.8441412448883057</v>
          </cell>
          <cell r="G183">
            <v>3</v>
          </cell>
        </row>
        <row r="184">
          <cell r="A184" t="str">
            <v>BGD</v>
          </cell>
          <cell r="B184" t="str">
            <v>Middle</v>
          </cell>
          <cell r="C184" t="str">
            <v>2010 - 2022</v>
          </cell>
          <cell r="D184" t="str">
            <v>avg</v>
          </cell>
          <cell r="E184" t="str">
            <v>lfls1_s1_a2</v>
          </cell>
          <cell r="F184">
            <v>1.1048816442489624</v>
          </cell>
          <cell r="G184">
            <v>3</v>
          </cell>
        </row>
        <row r="185">
          <cell r="A185" t="str">
            <v>BGD</v>
          </cell>
          <cell r="B185" t="str">
            <v>Middle</v>
          </cell>
          <cell r="C185" t="str">
            <v>2010 - 2022</v>
          </cell>
          <cell r="D185" t="str">
            <v>avg</v>
          </cell>
          <cell r="E185" t="str">
            <v>lfls1_s1_a3</v>
          </cell>
          <cell r="F185">
            <v>1.196010947227478</v>
          </cell>
          <cell r="G185">
            <v>3</v>
          </cell>
        </row>
        <row r="186">
          <cell r="A186" t="str">
            <v>BGD</v>
          </cell>
          <cell r="B186" t="str">
            <v>Middle</v>
          </cell>
          <cell r="C186" t="str">
            <v>2010 - 2022</v>
          </cell>
          <cell r="D186" t="str">
            <v>avg</v>
          </cell>
          <cell r="E186" t="str">
            <v>lfprod_s0_a1</v>
          </cell>
          <cell r="F186">
            <v>1.0009294748306274</v>
          </cell>
          <cell r="G186">
            <v>3</v>
          </cell>
        </row>
        <row r="187">
          <cell r="A187" t="str">
            <v>BGD</v>
          </cell>
          <cell r="B187" t="str">
            <v>Middle</v>
          </cell>
          <cell r="C187" t="str">
            <v>2010 - 2022</v>
          </cell>
          <cell r="D187" t="str">
            <v>avg</v>
          </cell>
          <cell r="E187" t="str">
            <v>lfprod_s0_a2</v>
          </cell>
          <cell r="F187">
            <v>-0.50713980197906494</v>
          </cell>
          <cell r="G187">
            <v>3</v>
          </cell>
        </row>
        <row r="188">
          <cell r="A188" t="str">
            <v>BGD</v>
          </cell>
          <cell r="B188" t="str">
            <v>Middle</v>
          </cell>
          <cell r="C188" t="str">
            <v>2010 - 2022</v>
          </cell>
          <cell r="D188" t="str">
            <v>avg</v>
          </cell>
          <cell r="E188" t="str">
            <v>lfprod_s0_a3</v>
          </cell>
          <cell r="F188">
            <v>-0.33893957734107971</v>
          </cell>
          <cell r="G188">
            <v>3</v>
          </cell>
        </row>
        <row r="189">
          <cell r="A189" t="str">
            <v>BGD</v>
          </cell>
          <cell r="B189" t="str">
            <v>Middle</v>
          </cell>
          <cell r="C189" t="str">
            <v>2010 - 2022</v>
          </cell>
          <cell r="D189" t="str">
            <v>avg</v>
          </cell>
          <cell r="E189" t="str">
            <v>lfprod_s1_a1</v>
          </cell>
          <cell r="F189">
            <v>1.7518855333328247</v>
          </cell>
          <cell r="G189">
            <v>3</v>
          </cell>
        </row>
        <row r="190">
          <cell r="A190" t="str">
            <v>BGD</v>
          </cell>
          <cell r="B190" t="str">
            <v>Middle</v>
          </cell>
          <cell r="C190" t="str">
            <v>2010 - 2022</v>
          </cell>
          <cell r="D190" t="str">
            <v>avg</v>
          </cell>
          <cell r="E190" t="str">
            <v>lfprod_s1_a2</v>
          </cell>
          <cell r="F190">
            <v>0.16247689723968506</v>
          </cell>
          <cell r="G190">
            <v>3</v>
          </cell>
        </row>
        <row r="191">
          <cell r="A191" t="str">
            <v>BGD</v>
          </cell>
          <cell r="B191" t="str">
            <v>Middle</v>
          </cell>
          <cell r="C191" t="str">
            <v>2010 - 2022</v>
          </cell>
          <cell r="D191" t="str">
            <v>avg</v>
          </cell>
          <cell r="E191" t="str">
            <v>lfprod_s1_a3</v>
          </cell>
          <cell r="F191">
            <v>0.13680732250213623</v>
          </cell>
          <cell r="G191">
            <v>3</v>
          </cell>
        </row>
        <row r="192">
          <cell r="A192" t="str">
            <v>BGD</v>
          </cell>
          <cell r="B192" t="str">
            <v>Middle</v>
          </cell>
          <cell r="C192" t="str">
            <v>2010 - 2022</v>
          </cell>
          <cell r="D192" t="str">
            <v>avg_1_99</v>
          </cell>
          <cell r="E192" t="str">
            <v>lfls12_S0_A0</v>
          </cell>
          <cell r="F192">
            <v>0.37168604135513306</v>
          </cell>
          <cell r="G192">
            <v>3</v>
          </cell>
        </row>
        <row r="193">
          <cell r="A193" t="str">
            <v>BGD</v>
          </cell>
          <cell r="B193" t="str">
            <v>Middle</v>
          </cell>
          <cell r="C193" t="str">
            <v>2010 - 2022</v>
          </cell>
          <cell r="D193" t="str">
            <v>avg_1_99</v>
          </cell>
          <cell r="E193" t="str">
            <v>lfls1_S0_A0</v>
          </cell>
          <cell r="F193">
            <v>0.34859895706176758</v>
          </cell>
          <cell r="G193">
            <v>3</v>
          </cell>
        </row>
        <row r="194">
          <cell r="A194" t="str">
            <v>BGD</v>
          </cell>
          <cell r="B194" t="str">
            <v>Middle</v>
          </cell>
          <cell r="C194" t="str">
            <v>2010 - 2022</v>
          </cell>
          <cell r="D194" t="str">
            <v>avg_1_99</v>
          </cell>
          <cell r="E194" t="str">
            <v>lfls1_S0_a1</v>
          </cell>
          <cell r="F194">
            <v>0.36857318878173828</v>
          </cell>
          <cell r="G194">
            <v>3</v>
          </cell>
        </row>
        <row r="195">
          <cell r="A195" t="str">
            <v>BGD</v>
          </cell>
          <cell r="B195" t="str">
            <v>Middle</v>
          </cell>
          <cell r="C195" t="str">
            <v>2010 - 2022</v>
          </cell>
          <cell r="D195" t="str">
            <v>avg_1_99</v>
          </cell>
          <cell r="E195" t="str">
            <v>lfls1_S0_a2</v>
          </cell>
          <cell r="F195">
            <v>0.35313531756401062</v>
          </cell>
          <cell r="G195">
            <v>3</v>
          </cell>
        </row>
        <row r="196">
          <cell r="A196" t="str">
            <v>BGD</v>
          </cell>
          <cell r="B196" t="str">
            <v>Middle</v>
          </cell>
          <cell r="C196" t="str">
            <v>2010 - 2022</v>
          </cell>
          <cell r="D196" t="str">
            <v>avg_1_99</v>
          </cell>
          <cell r="E196" t="str">
            <v>lfls1_S0_a3</v>
          </cell>
          <cell r="F196">
            <v>0.58678263425827026</v>
          </cell>
          <cell r="G196">
            <v>3</v>
          </cell>
        </row>
        <row r="197">
          <cell r="A197" t="str">
            <v>BGD</v>
          </cell>
          <cell r="B197" t="str">
            <v>Middle</v>
          </cell>
          <cell r="C197" t="str">
            <v>2010 - 2022</v>
          </cell>
          <cell r="D197" t="str">
            <v>avg_1_99</v>
          </cell>
          <cell r="E197" t="str">
            <v>lfls1_s0_A0</v>
          </cell>
          <cell r="F197">
            <v>0.64339053630828857</v>
          </cell>
          <cell r="G197">
            <v>3</v>
          </cell>
        </row>
        <row r="198">
          <cell r="A198" t="str">
            <v>BGD</v>
          </cell>
          <cell r="B198" t="str">
            <v>Middle</v>
          </cell>
          <cell r="C198" t="str">
            <v>2010 - 2022</v>
          </cell>
          <cell r="D198" t="str">
            <v>avg_1_99</v>
          </cell>
          <cell r="E198" t="str">
            <v>lfls1_s0_a1</v>
          </cell>
          <cell r="F198">
            <v>3.2931687831878662</v>
          </cell>
          <cell r="G198">
            <v>3</v>
          </cell>
        </row>
        <row r="199">
          <cell r="A199" t="str">
            <v>BGD</v>
          </cell>
          <cell r="B199" t="str">
            <v>Middle</v>
          </cell>
          <cell r="C199" t="str">
            <v>2010 - 2022</v>
          </cell>
          <cell r="D199" t="str">
            <v>avg_1_99</v>
          </cell>
          <cell r="E199" t="str">
            <v>lfls1_s0_a2</v>
          </cell>
          <cell r="F199">
            <v>0.28938496112823486</v>
          </cell>
          <cell r="G199">
            <v>3</v>
          </cell>
        </row>
        <row r="200">
          <cell r="A200" t="str">
            <v>BGD</v>
          </cell>
          <cell r="B200" t="str">
            <v>Middle</v>
          </cell>
          <cell r="C200" t="str">
            <v>2010 - 2022</v>
          </cell>
          <cell r="D200" t="str">
            <v>avg_1_99</v>
          </cell>
          <cell r="E200" t="str">
            <v>lfls1_s0_a3</v>
          </cell>
          <cell r="F200">
            <v>0.45688459277153015</v>
          </cell>
          <cell r="G200">
            <v>3</v>
          </cell>
        </row>
        <row r="201">
          <cell r="A201" t="str">
            <v>BGD</v>
          </cell>
          <cell r="B201" t="str">
            <v>Middle</v>
          </cell>
          <cell r="C201" t="str">
            <v>2010 - 2022</v>
          </cell>
          <cell r="D201" t="str">
            <v>avg_1_99</v>
          </cell>
          <cell r="E201" t="str">
            <v>lfls1_s1_A0</v>
          </cell>
          <cell r="F201">
            <v>-0.17981988191604614</v>
          </cell>
          <cell r="G201">
            <v>3</v>
          </cell>
        </row>
        <row r="202">
          <cell r="A202" t="str">
            <v>BGD</v>
          </cell>
          <cell r="B202" t="str">
            <v>Middle</v>
          </cell>
          <cell r="C202" t="str">
            <v>2010 - 2022</v>
          </cell>
          <cell r="D202" t="str">
            <v>avg_1_99</v>
          </cell>
          <cell r="E202" t="str">
            <v>lfls1_s1_a1</v>
          </cell>
          <cell r="F202">
            <v>-0.84124022722244263</v>
          </cell>
          <cell r="G202">
            <v>3</v>
          </cell>
        </row>
        <row r="203">
          <cell r="A203" t="str">
            <v>BGD</v>
          </cell>
          <cell r="B203" t="str">
            <v>Middle</v>
          </cell>
          <cell r="C203" t="str">
            <v>2010 - 2022</v>
          </cell>
          <cell r="D203" t="str">
            <v>avg_1_99</v>
          </cell>
          <cell r="E203" t="str">
            <v>lfls1_s1_a2</v>
          </cell>
          <cell r="F203">
            <v>0.94977873563766479</v>
          </cell>
          <cell r="G203">
            <v>3</v>
          </cell>
        </row>
        <row r="204">
          <cell r="A204" t="str">
            <v>BGD</v>
          </cell>
          <cell r="B204" t="str">
            <v>Middle</v>
          </cell>
          <cell r="C204" t="str">
            <v>2010 - 2022</v>
          </cell>
          <cell r="D204" t="str">
            <v>avg_1_99</v>
          </cell>
          <cell r="E204" t="str">
            <v>lfls1_s1_a3</v>
          </cell>
          <cell r="F204">
            <v>1.1830865144729614</v>
          </cell>
          <cell r="G204">
            <v>3</v>
          </cell>
        </row>
        <row r="205">
          <cell r="A205" t="str">
            <v>BGD</v>
          </cell>
          <cell r="B205" t="str">
            <v>Middle</v>
          </cell>
          <cell r="C205" t="str">
            <v>2010 - 2022</v>
          </cell>
          <cell r="D205" t="str">
            <v>avg_1_99</v>
          </cell>
          <cell r="E205" t="str">
            <v>lfprod_s0_a1</v>
          </cell>
          <cell r="F205">
            <v>1.9258879423141479</v>
          </cell>
          <cell r="G205">
            <v>3</v>
          </cell>
        </row>
        <row r="206">
          <cell r="A206" t="str">
            <v>BGD</v>
          </cell>
          <cell r="B206" t="str">
            <v>Middle</v>
          </cell>
          <cell r="C206" t="str">
            <v>2010 - 2022</v>
          </cell>
          <cell r="D206" t="str">
            <v>avg_1_99</v>
          </cell>
          <cell r="E206" t="str">
            <v>lfprod_s0_a2</v>
          </cell>
          <cell r="F206">
            <v>-0.51593655347824097</v>
          </cell>
          <cell r="G206">
            <v>3</v>
          </cell>
        </row>
        <row r="207">
          <cell r="A207" t="str">
            <v>BGD</v>
          </cell>
          <cell r="B207" t="str">
            <v>Middle</v>
          </cell>
          <cell r="C207" t="str">
            <v>2010 - 2022</v>
          </cell>
          <cell r="D207" t="str">
            <v>avg_1_99</v>
          </cell>
          <cell r="E207" t="str">
            <v>lfprod_s0_a3</v>
          </cell>
          <cell r="F207">
            <v>-0.40135094523429871</v>
          </cell>
          <cell r="G207">
            <v>3</v>
          </cell>
        </row>
        <row r="208">
          <cell r="A208" t="str">
            <v>BGD</v>
          </cell>
          <cell r="B208" t="str">
            <v>Middle</v>
          </cell>
          <cell r="C208" t="str">
            <v>2010 - 2022</v>
          </cell>
          <cell r="D208" t="str">
            <v>avg_1_99</v>
          </cell>
          <cell r="E208" t="str">
            <v>lfprod_s1_a1</v>
          </cell>
          <cell r="F208">
            <v>-1.6635783910751343</v>
          </cell>
          <cell r="G208">
            <v>3</v>
          </cell>
        </row>
        <row r="209">
          <cell r="A209" t="str">
            <v>BGD</v>
          </cell>
          <cell r="B209" t="str">
            <v>Middle</v>
          </cell>
          <cell r="C209" t="str">
            <v>2010 - 2022</v>
          </cell>
          <cell r="D209" t="str">
            <v>avg_1_99</v>
          </cell>
          <cell r="E209" t="str">
            <v>lfprod_s1_a2</v>
          </cell>
          <cell r="F209">
            <v>1.2335801729932427E-3</v>
          </cell>
          <cell r="G209">
            <v>3</v>
          </cell>
        </row>
        <row r="210">
          <cell r="A210" t="str">
            <v>BGD</v>
          </cell>
          <cell r="B210" t="str">
            <v>Middle</v>
          </cell>
          <cell r="C210" t="str">
            <v>2010 - 2022</v>
          </cell>
          <cell r="D210" t="str">
            <v>avg_1_99</v>
          </cell>
          <cell r="E210" t="str">
            <v>lfprod_s1_a3</v>
          </cell>
          <cell r="F210">
            <v>0.13402286171913147</v>
          </cell>
          <cell r="G210">
            <v>3</v>
          </cell>
        </row>
        <row r="211">
          <cell r="A211" t="str">
            <v>BGD</v>
          </cell>
          <cell r="B211" t="str">
            <v>Middle</v>
          </cell>
          <cell r="C211" t="str">
            <v>2010 - 2022</v>
          </cell>
          <cell r="D211" t="str">
            <v>avg_1_99_imp</v>
          </cell>
          <cell r="E211" t="str">
            <v>lfls12_S0_A0</v>
          </cell>
          <cell r="F211">
            <v>0.37135925889015198</v>
          </cell>
          <cell r="G211">
            <v>3</v>
          </cell>
        </row>
        <row r="212">
          <cell r="A212" t="str">
            <v>BGD</v>
          </cell>
          <cell r="B212" t="str">
            <v>Middle</v>
          </cell>
          <cell r="C212" t="str">
            <v>2010 - 2022</v>
          </cell>
          <cell r="D212" t="str">
            <v>avg_1_99_imp</v>
          </cell>
          <cell r="E212" t="str">
            <v>lfls1_S0_A0</v>
          </cell>
          <cell r="F212">
            <v>0.3496982753276825</v>
          </cell>
          <cell r="G212">
            <v>3</v>
          </cell>
        </row>
        <row r="213">
          <cell r="A213" t="str">
            <v>BGD</v>
          </cell>
          <cell r="B213" t="str">
            <v>Middle</v>
          </cell>
          <cell r="C213" t="str">
            <v>2010 - 2022</v>
          </cell>
          <cell r="D213" t="str">
            <v>avg_1_99_imp</v>
          </cell>
          <cell r="E213" t="str">
            <v>lfls1_S0_a1</v>
          </cell>
          <cell r="F213">
            <v>0.39026004076004028</v>
          </cell>
          <cell r="G213">
            <v>3</v>
          </cell>
        </row>
        <row r="214">
          <cell r="A214" t="str">
            <v>BGD</v>
          </cell>
          <cell r="B214" t="str">
            <v>Middle</v>
          </cell>
          <cell r="C214" t="str">
            <v>2010 - 2022</v>
          </cell>
          <cell r="D214" t="str">
            <v>avg_1_99_imp</v>
          </cell>
          <cell r="E214" t="str">
            <v>lfls1_S0_a2</v>
          </cell>
          <cell r="F214">
            <v>0.280631422996521</v>
          </cell>
          <cell r="G214">
            <v>3</v>
          </cell>
        </row>
        <row r="215">
          <cell r="A215" t="str">
            <v>BGD</v>
          </cell>
          <cell r="B215" t="str">
            <v>Middle</v>
          </cell>
          <cell r="C215" t="str">
            <v>2010 - 2022</v>
          </cell>
          <cell r="D215" t="str">
            <v>avg_1_99_imp</v>
          </cell>
          <cell r="E215" t="str">
            <v>lfls1_S0_a3</v>
          </cell>
          <cell r="F215">
            <v>0.57196778059005737</v>
          </cell>
          <cell r="G215">
            <v>3</v>
          </cell>
        </row>
        <row r="216">
          <cell r="A216" t="str">
            <v>BGD</v>
          </cell>
          <cell r="B216" t="str">
            <v>Middle</v>
          </cell>
          <cell r="C216" t="str">
            <v>2010 - 2022</v>
          </cell>
          <cell r="D216" t="str">
            <v>avg_1_99_imp</v>
          </cell>
          <cell r="E216" t="str">
            <v>lfls1_s0_A0</v>
          </cell>
          <cell r="F216">
            <v>0.63141465187072754</v>
          </cell>
          <cell r="G216">
            <v>3</v>
          </cell>
        </row>
        <row r="217">
          <cell r="A217" t="str">
            <v>BGD</v>
          </cell>
          <cell r="B217" t="str">
            <v>Middle</v>
          </cell>
          <cell r="C217" t="str">
            <v>2010 - 2022</v>
          </cell>
          <cell r="D217" t="str">
            <v>avg_1_99_imp</v>
          </cell>
          <cell r="E217" t="str">
            <v>lfls1_s0_a1</v>
          </cell>
          <cell r="F217">
            <v>3.064460277557373</v>
          </cell>
          <cell r="G217">
            <v>3</v>
          </cell>
        </row>
        <row r="218">
          <cell r="A218" t="str">
            <v>BGD</v>
          </cell>
          <cell r="B218" t="str">
            <v>Middle</v>
          </cell>
          <cell r="C218" t="str">
            <v>2010 - 2022</v>
          </cell>
          <cell r="D218" t="str">
            <v>avg_1_99_imp</v>
          </cell>
          <cell r="E218" t="str">
            <v>lfls1_s0_a2</v>
          </cell>
          <cell r="F218">
            <v>0.22987347841262817</v>
          </cell>
          <cell r="G218">
            <v>3</v>
          </cell>
        </row>
        <row r="219">
          <cell r="A219" t="str">
            <v>BGD</v>
          </cell>
          <cell r="B219" t="str">
            <v>Middle</v>
          </cell>
          <cell r="C219" t="str">
            <v>2010 - 2022</v>
          </cell>
          <cell r="D219" t="str">
            <v>avg_1_99_imp</v>
          </cell>
          <cell r="E219" t="str">
            <v>lfls1_s0_a3</v>
          </cell>
          <cell r="F219">
            <v>0.39414569735527039</v>
          </cell>
          <cell r="G219">
            <v>3</v>
          </cell>
        </row>
        <row r="220">
          <cell r="A220" t="str">
            <v>BGD</v>
          </cell>
          <cell r="B220" t="str">
            <v>Middle</v>
          </cell>
          <cell r="C220" t="str">
            <v>2010 - 2022</v>
          </cell>
          <cell r="D220" t="str">
            <v>avg_1_99_imp</v>
          </cell>
          <cell r="E220" t="str">
            <v>lfls1_s1_A0</v>
          </cell>
          <cell r="F220">
            <v>-0.21450057625770569</v>
          </cell>
          <cell r="G220">
            <v>3</v>
          </cell>
        </row>
        <row r="221">
          <cell r="A221" t="str">
            <v>BGD</v>
          </cell>
          <cell r="B221" t="str">
            <v>Middle</v>
          </cell>
          <cell r="C221" t="str">
            <v>2010 - 2022</v>
          </cell>
          <cell r="D221" t="str">
            <v>avg_1_99_imp</v>
          </cell>
          <cell r="E221" t="str">
            <v>lfls1_s1_a1</v>
          </cell>
          <cell r="F221">
            <v>-0.95468950271606445</v>
          </cell>
          <cell r="G221">
            <v>3</v>
          </cell>
        </row>
        <row r="222">
          <cell r="A222" t="str">
            <v>BGD</v>
          </cell>
          <cell r="B222" t="str">
            <v>Middle</v>
          </cell>
          <cell r="C222" t="str">
            <v>2010 - 2022</v>
          </cell>
          <cell r="D222" t="str">
            <v>avg_1_99_imp</v>
          </cell>
          <cell r="E222" t="str">
            <v>lfls1_s1_a2</v>
          </cell>
          <cell r="F222">
            <v>0.77853214740753174</v>
          </cell>
          <cell r="G222">
            <v>3</v>
          </cell>
        </row>
        <row r="223">
          <cell r="A223" t="str">
            <v>BGD</v>
          </cell>
          <cell r="B223" t="str">
            <v>Middle</v>
          </cell>
          <cell r="C223" t="str">
            <v>2010 - 2022</v>
          </cell>
          <cell r="D223" t="str">
            <v>avg_1_99_imp</v>
          </cell>
          <cell r="E223" t="str">
            <v>lfls1_s1_a3</v>
          </cell>
          <cell r="F223">
            <v>1.1627695560455322</v>
          </cell>
          <cell r="G223">
            <v>3</v>
          </cell>
        </row>
        <row r="224">
          <cell r="A224" t="str">
            <v>BGD</v>
          </cell>
          <cell r="B224" t="str">
            <v>Middle</v>
          </cell>
          <cell r="C224" t="str">
            <v>2010 - 2022</v>
          </cell>
          <cell r="D224" t="str">
            <v>avg_1_99_imp</v>
          </cell>
          <cell r="E224" t="str">
            <v>lfprod_s0_a1</v>
          </cell>
          <cell r="F224">
            <v>1.793999195098877</v>
          </cell>
          <cell r="G224">
            <v>3</v>
          </cell>
        </row>
        <row r="225">
          <cell r="A225" t="str">
            <v>BGD</v>
          </cell>
          <cell r="B225" t="str">
            <v>Middle</v>
          </cell>
          <cell r="C225" t="str">
            <v>2010 - 2022</v>
          </cell>
          <cell r="D225" t="str">
            <v>avg_1_99_imp</v>
          </cell>
          <cell r="E225" t="str">
            <v>lfprod_s0_a2</v>
          </cell>
          <cell r="F225">
            <v>-0.56366997957229614</v>
          </cell>
          <cell r="G225">
            <v>3</v>
          </cell>
        </row>
        <row r="226">
          <cell r="A226" t="str">
            <v>BGD</v>
          </cell>
          <cell r="B226" t="str">
            <v>Middle</v>
          </cell>
          <cell r="C226" t="str">
            <v>2010 - 2022</v>
          </cell>
          <cell r="D226" t="str">
            <v>avg_1_99_imp</v>
          </cell>
          <cell r="E226" t="str">
            <v>lfprod_s0_a3</v>
          </cell>
          <cell r="F226">
            <v>-0.43874219059944153</v>
          </cell>
          <cell r="G226">
            <v>3</v>
          </cell>
        </row>
        <row r="227">
          <cell r="A227" t="str">
            <v>BGD</v>
          </cell>
          <cell r="B227" t="str">
            <v>Middle</v>
          </cell>
          <cell r="C227" t="str">
            <v>2010 - 2022</v>
          </cell>
          <cell r="D227" t="str">
            <v>avg_1_99_imp</v>
          </cell>
          <cell r="E227" t="str">
            <v>lfprod_s1_a1</v>
          </cell>
          <cell r="F227">
            <v>-1.7862590551376343</v>
          </cell>
          <cell r="G227">
            <v>3</v>
          </cell>
        </row>
        <row r="228">
          <cell r="A228" t="str">
            <v>BGD</v>
          </cell>
          <cell r="B228" t="str">
            <v>Middle</v>
          </cell>
          <cell r="C228" t="str">
            <v>2010 - 2022</v>
          </cell>
          <cell r="D228" t="str">
            <v>avg_1_99_imp</v>
          </cell>
          <cell r="E228" t="str">
            <v>lfprod_s1_a2</v>
          </cell>
          <cell r="F228">
            <v>-0.16663353145122528</v>
          </cell>
          <cell r="G228">
            <v>3</v>
          </cell>
        </row>
        <row r="229">
          <cell r="A229" t="str">
            <v>BGD</v>
          </cell>
          <cell r="B229" t="str">
            <v>Middle</v>
          </cell>
          <cell r="C229" t="str">
            <v>2010 - 2022</v>
          </cell>
          <cell r="D229" t="str">
            <v>avg_1_99_imp</v>
          </cell>
          <cell r="E229" t="str">
            <v>lfprod_s1_a3</v>
          </cell>
          <cell r="F229">
            <v>0.12776654958724976</v>
          </cell>
          <cell r="G229">
            <v>3</v>
          </cell>
        </row>
        <row r="230">
          <cell r="A230" t="str">
            <v>BGD</v>
          </cell>
          <cell r="B230" t="str">
            <v>Middle</v>
          </cell>
          <cell r="C230" t="str">
            <v>2010 - 2022</v>
          </cell>
          <cell r="D230" t="str">
            <v>med_reg</v>
          </cell>
          <cell r="E230" t="str">
            <v>lfls12_S0_A0</v>
          </cell>
          <cell r="F230">
            <v>0.359465092420578</v>
          </cell>
          <cell r="G230">
            <v>3</v>
          </cell>
        </row>
        <row r="231">
          <cell r="A231" t="str">
            <v>BGD</v>
          </cell>
          <cell r="B231" t="str">
            <v>Middle</v>
          </cell>
          <cell r="C231" t="str">
            <v>2010 - 2022</v>
          </cell>
          <cell r="D231" t="str">
            <v>med_reg</v>
          </cell>
          <cell r="E231" t="str">
            <v>lfls1_S0_A0</v>
          </cell>
          <cell r="F231">
            <v>0.35036280751228333</v>
          </cell>
          <cell r="G231">
            <v>3</v>
          </cell>
        </row>
        <row r="232">
          <cell r="A232" t="str">
            <v>BGD</v>
          </cell>
          <cell r="B232" t="str">
            <v>Middle</v>
          </cell>
          <cell r="C232" t="str">
            <v>2010 - 2022</v>
          </cell>
          <cell r="D232" t="str">
            <v>med_reg</v>
          </cell>
          <cell r="E232" t="str">
            <v>lfls1_S0_a1</v>
          </cell>
          <cell r="F232">
            <v>0.48938548564910889</v>
          </cell>
          <cell r="G232">
            <v>3</v>
          </cell>
        </row>
        <row r="233">
          <cell r="A233" t="str">
            <v>BGD</v>
          </cell>
          <cell r="B233" t="str">
            <v>Middle</v>
          </cell>
          <cell r="C233" t="str">
            <v>2010 - 2022</v>
          </cell>
          <cell r="D233" t="str">
            <v>med_reg</v>
          </cell>
          <cell r="E233" t="str">
            <v>lfls1_S0_a2</v>
          </cell>
          <cell r="F233">
            <v>-5.7443282566964626E-3</v>
          </cell>
          <cell r="G233">
            <v>3</v>
          </cell>
        </row>
        <row r="234">
          <cell r="A234" t="str">
            <v>BGD</v>
          </cell>
          <cell r="B234" t="str">
            <v>Middle</v>
          </cell>
          <cell r="C234" t="str">
            <v>2010 - 2022</v>
          </cell>
          <cell r="D234" t="str">
            <v>med_reg</v>
          </cell>
          <cell r="E234" t="str">
            <v>lfls1_S0_a3</v>
          </cell>
          <cell r="F234">
            <v>0.62545281648635864</v>
          </cell>
          <cell r="G234">
            <v>3</v>
          </cell>
        </row>
        <row r="235">
          <cell r="A235" t="str">
            <v>BGD</v>
          </cell>
          <cell r="B235" t="str">
            <v>Middle</v>
          </cell>
          <cell r="C235" t="str">
            <v>2010 - 2022</v>
          </cell>
          <cell r="D235" t="str">
            <v>med_reg</v>
          </cell>
          <cell r="E235" t="str">
            <v>lfls1_s0_A0</v>
          </cell>
          <cell r="F235">
            <v>0.71782338619232178</v>
          </cell>
          <cell r="G235">
            <v>3</v>
          </cell>
        </row>
        <row r="236">
          <cell r="A236" t="str">
            <v>BGD</v>
          </cell>
          <cell r="B236" t="str">
            <v>Middle</v>
          </cell>
          <cell r="C236" t="str">
            <v>2010 - 2022</v>
          </cell>
          <cell r="D236" t="str">
            <v>med_reg</v>
          </cell>
          <cell r="E236" t="str">
            <v>lfls1_s0_a1</v>
          </cell>
          <cell r="F236">
            <v>5.5386190414428711</v>
          </cell>
          <cell r="G236">
            <v>3</v>
          </cell>
        </row>
        <row r="237">
          <cell r="A237" t="str">
            <v>BGD</v>
          </cell>
          <cell r="B237" t="str">
            <v>Middle</v>
          </cell>
          <cell r="C237" t="str">
            <v>2010 - 2022</v>
          </cell>
          <cell r="D237" t="str">
            <v>med_reg</v>
          </cell>
          <cell r="E237" t="str">
            <v>lfls1_s0_a2</v>
          </cell>
          <cell r="F237">
            <v>-3.5093914717435837E-2</v>
          </cell>
          <cell r="G237">
            <v>3</v>
          </cell>
        </row>
        <row r="238">
          <cell r="A238" t="str">
            <v>BGD</v>
          </cell>
          <cell r="B238" t="str">
            <v>Middle</v>
          </cell>
          <cell r="C238" t="str">
            <v>2010 - 2022</v>
          </cell>
          <cell r="D238" t="str">
            <v>med_reg</v>
          </cell>
          <cell r="E238" t="str">
            <v>lfls1_s0_a3</v>
          </cell>
          <cell r="F238">
            <v>0.42806535959243774</v>
          </cell>
          <cell r="G238">
            <v>3</v>
          </cell>
        </row>
        <row r="239">
          <cell r="A239" t="str">
            <v>BGD</v>
          </cell>
          <cell r="B239" t="str">
            <v>Middle</v>
          </cell>
          <cell r="C239" t="str">
            <v>2010 - 2022</v>
          </cell>
          <cell r="D239" t="str">
            <v>med_reg</v>
          </cell>
          <cell r="E239" t="str">
            <v>lfls1_s1_A0</v>
          </cell>
          <cell r="F239">
            <v>-0.28888869285583496</v>
          </cell>
          <cell r="G239">
            <v>3</v>
          </cell>
        </row>
        <row r="240">
          <cell r="A240" t="str">
            <v>BGD</v>
          </cell>
          <cell r="B240" t="str">
            <v>Middle</v>
          </cell>
          <cell r="C240" t="str">
            <v>2010 - 2022</v>
          </cell>
          <cell r="D240" t="str">
            <v>med_reg</v>
          </cell>
          <cell r="E240" t="str">
            <v>lfls1_s1_a1</v>
          </cell>
          <cell r="F240">
            <v>-1.9553773403167725</v>
          </cell>
          <cell r="G240">
            <v>3</v>
          </cell>
        </row>
        <row r="241">
          <cell r="A241" t="str">
            <v>BGD</v>
          </cell>
          <cell r="B241" t="str">
            <v>Middle</v>
          </cell>
          <cell r="C241" t="str">
            <v>2010 - 2022</v>
          </cell>
          <cell r="D241" t="str">
            <v>med_reg</v>
          </cell>
          <cell r="E241" t="str">
            <v>lfls1_s1_a2</v>
          </cell>
          <cell r="F241">
            <v>0.62748575210571289</v>
          </cell>
          <cell r="G241">
            <v>3</v>
          </cell>
        </row>
        <row r="242">
          <cell r="A242" t="str">
            <v>BGD</v>
          </cell>
          <cell r="B242" t="str">
            <v>Middle</v>
          </cell>
          <cell r="C242" t="str">
            <v>2010 - 2022</v>
          </cell>
          <cell r="D242" t="str">
            <v>med_reg</v>
          </cell>
          <cell r="E242" t="str">
            <v>lfls1_s1_a3</v>
          </cell>
          <cell r="F242">
            <v>1.4579391479492188</v>
          </cell>
          <cell r="G242">
            <v>3</v>
          </cell>
        </row>
        <row r="243">
          <cell r="A243" t="str">
            <v>BGD</v>
          </cell>
          <cell r="B243" t="str">
            <v>Middle</v>
          </cell>
          <cell r="C243" t="str">
            <v>2010 - 2022</v>
          </cell>
          <cell r="D243" t="str">
            <v>med_reg</v>
          </cell>
          <cell r="E243" t="str">
            <v>lfprod_s0_a1</v>
          </cell>
          <cell r="F243">
            <v>4.5386190414428711</v>
          </cell>
          <cell r="G243">
            <v>3</v>
          </cell>
        </row>
        <row r="244">
          <cell r="A244" t="str">
            <v>BGD</v>
          </cell>
          <cell r="B244" t="str">
            <v>Middle</v>
          </cell>
          <cell r="C244" t="str">
            <v>2010 - 2022</v>
          </cell>
          <cell r="D244" t="str">
            <v>med_reg</v>
          </cell>
          <cell r="E244" t="str">
            <v>lfprod_s0_a2</v>
          </cell>
          <cell r="F244">
            <v>-1.0350939035415649</v>
          </cell>
          <cell r="G244">
            <v>3</v>
          </cell>
        </row>
        <row r="245">
          <cell r="A245" t="str">
            <v>BGD</v>
          </cell>
          <cell r="B245" t="str">
            <v>Middle</v>
          </cell>
          <cell r="C245" t="str">
            <v>2010 - 2022</v>
          </cell>
          <cell r="D245" t="str">
            <v>med_reg</v>
          </cell>
          <cell r="E245" t="str">
            <v>lfprod_s0_a3</v>
          </cell>
          <cell r="F245">
            <v>-0.57193464040756226</v>
          </cell>
          <cell r="G245">
            <v>3</v>
          </cell>
        </row>
        <row r="246">
          <cell r="A246" t="str">
            <v>BGD</v>
          </cell>
          <cell r="B246" t="str">
            <v>Middle</v>
          </cell>
          <cell r="C246" t="str">
            <v>2010 - 2022</v>
          </cell>
          <cell r="D246" t="str">
            <v>med_reg</v>
          </cell>
          <cell r="E246" t="str">
            <v>lfprod_s1_a1</v>
          </cell>
          <cell r="F246">
            <v>-2.9553773403167725</v>
          </cell>
          <cell r="G246">
            <v>3</v>
          </cell>
        </row>
        <row r="247">
          <cell r="A247" t="str">
            <v>BGD</v>
          </cell>
          <cell r="B247" t="str">
            <v>Middle</v>
          </cell>
          <cell r="C247" t="str">
            <v>2010 - 2022</v>
          </cell>
          <cell r="D247" t="str">
            <v>med_reg</v>
          </cell>
          <cell r="E247" t="str">
            <v>lfprod_s1_a2</v>
          </cell>
          <cell r="F247">
            <v>-0.3725142776966095</v>
          </cell>
          <cell r="G247">
            <v>3</v>
          </cell>
        </row>
        <row r="248">
          <cell r="A248" t="str">
            <v>BGD</v>
          </cell>
          <cell r="B248" t="str">
            <v>Middle</v>
          </cell>
          <cell r="C248" t="str">
            <v>2010 - 2022</v>
          </cell>
          <cell r="D248" t="str">
            <v>med_reg</v>
          </cell>
          <cell r="E248" t="str">
            <v>lfprod_s1_a3</v>
          </cell>
          <cell r="F248">
            <v>0.45793911814689636</v>
          </cell>
          <cell r="G248">
            <v>3</v>
          </cell>
        </row>
        <row r="249">
          <cell r="A249" t="str">
            <v>BGD</v>
          </cell>
          <cell r="B249" t="str">
            <v>Middle</v>
          </cell>
          <cell r="C249" t="str">
            <v>2010 - 2022</v>
          </cell>
          <cell r="D249" t="str">
            <v>med_reg_gdp</v>
          </cell>
          <cell r="E249" t="str">
            <v>lfls12_S0_A0</v>
          </cell>
          <cell r="F249">
            <v>0.359465092420578</v>
          </cell>
          <cell r="G249">
            <v>3</v>
          </cell>
        </row>
        <row r="250">
          <cell r="A250" t="str">
            <v>BGD</v>
          </cell>
          <cell r="B250" t="str">
            <v>Middle</v>
          </cell>
          <cell r="C250" t="str">
            <v>2010 - 2022</v>
          </cell>
          <cell r="D250" t="str">
            <v>med_reg_gdp</v>
          </cell>
          <cell r="E250" t="str">
            <v>lfls1_S0_A0</v>
          </cell>
          <cell r="F250">
            <v>0.35036280751228333</v>
          </cell>
          <cell r="G250">
            <v>3</v>
          </cell>
        </row>
        <row r="251">
          <cell r="A251" t="str">
            <v>BGD</v>
          </cell>
          <cell r="B251" t="str">
            <v>Middle</v>
          </cell>
          <cell r="C251" t="str">
            <v>2010 - 2022</v>
          </cell>
          <cell r="D251" t="str">
            <v>med_reg_gdp</v>
          </cell>
          <cell r="E251" t="str">
            <v>lfls1_S0_a1</v>
          </cell>
          <cell r="F251">
            <v>-0.31588190793991089</v>
          </cell>
          <cell r="G251">
            <v>3</v>
          </cell>
        </row>
        <row r="252">
          <cell r="A252" t="str">
            <v>BGD</v>
          </cell>
          <cell r="B252" t="str">
            <v>Middle</v>
          </cell>
          <cell r="C252" t="str">
            <v>2010 - 2022</v>
          </cell>
          <cell r="D252" t="str">
            <v>med_reg_gdp</v>
          </cell>
          <cell r="E252" t="str">
            <v>lfls1_S0_a2</v>
          </cell>
          <cell r="F252">
            <v>1.2297768592834473</v>
          </cell>
          <cell r="G252">
            <v>3</v>
          </cell>
        </row>
        <row r="253">
          <cell r="A253" t="str">
            <v>BGD</v>
          </cell>
          <cell r="B253" t="str">
            <v>Middle</v>
          </cell>
          <cell r="C253" t="str">
            <v>2010 - 2022</v>
          </cell>
          <cell r="D253" t="str">
            <v>med_reg_gdp</v>
          </cell>
          <cell r="E253" t="str">
            <v>lfls1_S0_a3</v>
          </cell>
          <cell r="F253">
            <v>-7.1652069091796875</v>
          </cell>
          <cell r="G253">
            <v>3</v>
          </cell>
        </row>
        <row r="254">
          <cell r="A254" t="str">
            <v>BGD</v>
          </cell>
          <cell r="B254" t="str">
            <v>Middle</v>
          </cell>
          <cell r="C254" t="str">
            <v>2010 - 2022</v>
          </cell>
          <cell r="D254" t="str">
            <v>med_reg_gdp</v>
          </cell>
          <cell r="E254" t="str">
            <v>lfls1_s0_A0</v>
          </cell>
          <cell r="F254">
            <v>0.71782338619232178</v>
          </cell>
          <cell r="G254">
            <v>3</v>
          </cell>
        </row>
        <row r="255">
          <cell r="A255" t="str">
            <v>BGD</v>
          </cell>
          <cell r="B255" t="str">
            <v>Middle</v>
          </cell>
          <cell r="C255" t="str">
            <v>2010 - 2022</v>
          </cell>
          <cell r="D255" t="str">
            <v>med_reg_gdp</v>
          </cell>
          <cell r="E255" t="str">
            <v>lfls1_s0_a1</v>
          </cell>
          <cell r="F255">
            <v>-1.8095742464065552</v>
          </cell>
          <cell r="G255">
            <v>3</v>
          </cell>
        </row>
        <row r="256">
          <cell r="A256" t="str">
            <v>BGD</v>
          </cell>
          <cell r="B256" t="str">
            <v>Middle</v>
          </cell>
          <cell r="C256" t="str">
            <v>2010 - 2022</v>
          </cell>
          <cell r="D256" t="str">
            <v>med_reg_gdp</v>
          </cell>
          <cell r="E256" t="str">
            <v>lfls1_s0_a2</v>
          </cell>
          <cell r="F256">
            <v>0.67724204063415527</v>
          </cell>
          <cell r="G256">
            <v>3</v>
          </cell>
        </row>
        <row r="257">
          <cell r="A257" t="str">
            <v>BGD</v>
          </cell>
          <cell r="B257" t="str">
            <v>Middle</v>
          </cell>
          <cell r="C257" t="str">
            <v>2010 - 2022</v>
          </cell>
          <cell r="D257" t="str">
            <v>med_reg_gdp</v>
          </cell>
          <cell r="E257" t="str">
            <v>lfls1_s0_a3</v>
          </cell>
          <cell r="F257">
            <v>-10.099226951599121</v>
          </cell>
          <cell r="G257">
            <v>3</v>
          </cell>
        </row>
        <row r="258">
          <cell r="A258" t="str">
            <v>BGD</v>
          </cell>
          <cell r="B258" t="str">
            <v>Middle</v>
          </cell>
          <cell r="C258" t="str">
            <v>2010 - 2022</v>
          </cell>
          <cell r="D258" t="str">
            <v>med_reg_gdp</v>
          </cell>
          <cell r="E258" t="str">
            <v>lfls1_s1_A0</v>
          </cell>
          <cell r="F258">
            <v>-0.28888869285583496</v>
          </cell>
          <cell r="G258">
            <v>3</v>
          </cell>
        </row>
        <row r="259">
          <cell r="A259" t="str">
            <v>BGD</v>
          </cell>
          <cell r="B259" t="str">
            <v>Middle</v>
          </cell>
          <cell r="C259" t="str">
            <v>2010 - 2022</v>
          </cell>
          <cell r="D259" t="str">
            <v>med_reg_gdp</v>
          </cell>
          <cell r="E259" t="str">
            <v>lfls1_s1_a1</v>
          </cell>
          <cell r="F259">
            <v>0.30435913801193237</v>
          </cell>
          <cell r="G259">
            <v>3</v>
          </cell>
        </row>
        <row r="260">
          <cell r="A260" t="str">
            <v>BGD</v>
          </cell>
          <cell r="B260" t="str">
            <v>Middle</v>
          </cell>
          <cell r="C260" t="str">
            <v>2010 - 2022</v>
          </cell>
          <cell r="D260" t="str">
            <v>med_reg_gdp</v>
          </cell>
          <cell r="E260" t="str">
            <v>lfls1_s1_a2</v>
          </cell>
          <cell r="F260">
            <v>11.850312232971191</v>
          </cell>
          <cell r="G260">
            <v>3</v>
          </cell>
        </row>
        <row r="261">
          <cell r="A261" t="str">
            <v>BGD</v>
          </cell>
          <cell r="B261" t="str">
            <v>Middle</v>
          </cell>
          <cell r="C261" t="str">
            <v>2010 - 2022</v>
          </cell>
          <cell r="D261" t="str">
            <v>med_reg_gdp</v>
          </cell>
          <cell r="E261" t="str">
            <v>lfls1_s1_a3</v>
          </cell>
          <cell r="F261">
            <v>18.053594589233398</v>
          </cell>
          <cell r="G261">
            <v>3</v>
          </cell>
        </row>
        <row r="262">
          <cell r="A262" t="str">
            <v>BGD</v>
          </cell>
          <cell r="B262" t="str">
            <v>Middle</v>
          </cell>
          <cell r="C262" t="str">
            <v>2010 - 2022</v>
          </cell>
          <cell r="D262" t="str">
            <v>med_reg_gdp</v>
          </cell>
          <cell r="E262" t="str">
            <v>lfprod_s0_a1</v>
          </cell>
          <cell r="F262">
            <v>-2.8095743656158447</v>
          </cell>
          <cell r="G262">
            <v>3</v>
          </cell>
        </row>
        <row r="263">
          <cell r="A263" t="str">
            <v>BGD</v>
          </cell>
          <cell r="B263" t="str">
            <v>Middle</v>
          </cell>
          <cell r="C263" t="str">
            <v>2010 - 2022</v>
          </cell>
          <cell r="D263" t="str">
            <v>med_reg_gdp</v>
          </cell>
          <cell r="E263" t="str">
            <v>lfprod_s0_a2</v>
          </cell>
          <cell r="F263">
            <v>-0.32275795936584473</v>
          </cell>
          <cell r="G263">
            <v>3</v>
          </cell>
        </row>
        <row r="264">
          <cell r="A264" t="str">
            <v>BGD</v>
          </cell>
          <cell r="B264" t="str">
            <v>Middle</v>
          </cell>
          <cell r="C264" t="str">
            <v>2010 - 2022</v>
          </cell>
          <cell r="D264" t="str">
            <v>med_reg_gdp</v>
          </cell>
          <cell r="E264" t="str">
            <v>lfprod_s0_a3</v>
          </cell>
          <cell r="F264">
            <v>-11.099226951599121</v>
          </cell>
          <cell r="G264">
            <v>3</v>
          </cell>
        </row>
        <row r="265">
          <cell r="A265" t="str">
            <v>BGD</v>
          </cell>
          <cell r="B265" t="str">
            <v>Middle</v>
          </cell>
          <cell r="C265" t="str">
            <v>2010 - 2022</v>
          </cell>
          <cell r="D265" t="str">
            <v>med_reg_gdp</v>
          </cell>
          <cell r="E265" t="str">
            <v>lfprod_s1_a1</v>
          </cell>
          <cell r="F265">
            <v>-0.69564086198806763</v>
          </cell>
          <cell r="G265">
            <v>3</v>
          </cell>
        </row>
        <row r="266">
          <cell r="A266" t="str">
            <v>BGD</v>
          </cell>
          <cell r="B266" t="str">
            <v>Middle</v>
          </cell>
          <cell r="C266" t="str">
            <v>2010 - 2022</v>
          </cell>
          <cell r="D266" t="str">
            <v>med_reg_gdp</v>
          </cell>
          <cell r="E266" t="str">
            <v>lfprod_s1_a2</v>
          </cell>
          <cell r="F266">
            <v>10.850312232971191</v>
          </cell>
          <cell r="G266">
            <v>3</v>
          </cell>
        </row>
        <row r="267">
          <cell r="A267" t="str">
            <v>BGD</v>
          </cell>
          <cell r="B267" t="str">
            <v>Middle</v>
          </cell>
          <cell r="C267" t="str">
            <v>2010 - 2022</v>
          </cell>
          <cell r="D267" t="str">
            <v>med_reg_gdp</v>
          </cell>
          <cell r="E267" t="str">
            <v>lfprod_s1_a3</v>
          </cell>
          <cell r="F267">
            <v>17.053594589233398</v>
          </cell>
          <cell r="G267">
            <v>3</v>
          </cell>
        </row>
        <row r="268">
          <cell r="A268" t="str">
            <v>BGD</v>
          </cell>
          <cell r="B268" t="str">
            <v>Middle</v>
          </cell>
          <cell r="C268" t="str">
            <v>2010 - 2022</v>
          </cell>
          <cell r="D268" t="str">
            <v>med_reg_iter</v>
          </cell>
          <cell r="E268" t="str">
            <v>lfls12_S0_A0</v>
          </cell>
          <cell r="F268">
            <v>0.359465092420578</v>
          </cell>
          <cell r="G268">
            <v>3</v>
          </cell>
        </row>
        <row r="269">
          <cell r="A269" t="str">
            <v>BGD</v>
          </cell>
          <cell r="B269" t="str">
            <v>Middle</v>
          </cell>
          <cell r="C269" t="str">
            <v>2010 - 2022</v>
          </cell>
          <cell r="D269" t="str">
            <v>med_reg_iter</v>
          </cell>
          <cell r="E269" t="str">
            <v>lfls1_S0_A0</v>
          </cell>
          <cell r="F269">
            <v>0.35036280751228333</v>
          </cell>
          <cell r="G269">
            <v>3</v>
          </cell>
        </row>
        <row r="270">
          <cell r="A270" t="str">
            <v>BGD</v>
          </cell>
          <cell r="B270" t="str">
            <v>Middle</v>
          </cell>
          <cell r="C270" t="str">
            <v>2010 - 2022</v>
          </cell>
          <cell r="D270" t="str">
            <v>med_reg_iter</v>
          </cell>
          <cell r="E270" t="str">
            <v>lfls1_S0_a1</v>
          </cell>
          <cell r="F270">
            <v>-0.31588190793991089</v>
          </cell>
          <cell r="G270">
            <v>3</v>
          </cell>
        </row>
        <row r="271">
          <cell r="A271" t="str">
            <v>BGD</v>
          </cell>
          <cell r="B271" t="str">
            <v>Middle</v>
          </cell>
          <cell r="C271" t="str">
            <v>2010 - 2022</v>
          </cell>
          <cell r="D271" t="str">
            <v>med_reg_iter</v>
          </cell>
          <cell r="E271" t="str">
            <v>lfls1_S0_a2</v>
          </cell>
          <cell r="F271">
            <v>1.2297768592834473</v>
          </cell>
          <cell r="G271">
            <v>3</v>
          </cell>
        </row>
        <row r="272">
          <cell r="A272" t="str">
            <v>BGD</v>
          </cell>
          <cell r="B272" t="str">
            <v>Middle</v>
          </cell>
          <cell r="C272" t="str">
            <v>2010 - 2022</v>
          </cell>
          <cell r="D272" t="str">
            <v>med_reg_iter</v>
          </cell>
          <cell r="E272" t="str">
            <v>lfls1_S0_a3</v>
          </cell>
          <cell r="F272">
            <v>-7.1652069091796875</v>
          </cell>
          <cell r="G272">
            <v>3</v>
          </cell>
        </row>
        <row r="273">
          <cell r="A273" t="str">
            <v>BGD</v>
          </cell>
          <cell r="B273" t="str">
            <v>Middle</v>
          </cell>
          <cell r="C273" t="str">
            <v>2010 - 2022</v>
          </cell>
          <cell r="D273" t="str">
            <v>med_reg_iter</v>
          </cell>
          <cell r="E273" t="str">
            <v>lfls1_s0_A0</v>
          </cell>
          <cell r="F273">
            <v>0.71782338619232178</v>
          </cell>
          <cell r="G273">
            <v>3</v>
          </cell>
        </row>
        <row r="274">
          <cell r="A274" t="str">
            <v>BGD</v>
          </cell>
          <cell r="B274" t="str">
            <v>Middle</v>
          </cell>
          <cell r="C274" t="str">
            <v>2010 - 2022</v>
          </cell>
          <cell r="D274" t="str">
            <v>med_reg_iter</v>
          </cell>
          <cell r="E274" t="str">
            <v>lfls1_s0_a1</v>
          </cell>
          <cell r="F274">
            <v>-1.8095742464065552</v>
          </cell>
          <cell r="G274">
            <v>3</v>
          </cell>
        </row>
        <row r="275">
          <cell r="A275" t="str">
            <v>BGD</v>
          </cell>
          <cell r="B275" t="str">
            <v>Middle</v>
          </cell>
          <cell r="C275" t="str">
            <v>2010 - 2022</v>
          </cell>
          <cell r="D275" t="str">
            <v>med_reg_iter</v>
          </cell>
          <cell r="E275" t="str">
            <v>lfls1_s0_a2</v>
          </cell>
          <cell r="F275">
            <v>0.67724204063415527</v>
          </cell>
          <cell r="G275">
            <v>3</v>
          </cell>
        </row>
        <row r="276">
          <cell r="A276" t="str">
            <v>BGD</v>
          </cell>
          <cell r="B276" t="str">
            <v>Middle</v>
          </cell>
          <cell r="C276" t="str">
            <v>2010 - 2022</v>
          </cell>
          <cell r="D276" t="str">
            <v>med_reg_iter</v>
          </cell>
          <cell r="E276" t="str">
            <v>lfls1_s0_a3</v>
          </cell>
          <cell r="F276">
            <v>-10.099226951599121</v>
          </cell>
          <cell r="G276">
            <v>3</v>
          </cell>
        </row>
        <row r="277">
          <cell r="A277" t="str">
            <v>BGD</v>
          </cell>
          <cell r="B277" t="str">
            <v>Middle</v>
          </cell>
          <cell r="C277" t="str">
            <v>2010 - 2022</v>
          </cell>
          <cell r="D277" t="str">
            <v>med_reg_iter</v>
          </cell>
          <cell r="E277" t="str">
            <v>lfls1_s1_A0</v>
          </cell>
          <cell r="F277">
            <v>-0.28888869285583496</v>
          </cell>
          <cell r="G277">
            <v>3</v>
          </cell>
        </row>
        <row r="278">
          <cell r="A278" t="str">
            <v>BGD</v>
          </cell>
          <cell r="B278" t="str">
            <v>Middle</v>
          </cell>
          <cell r="C278" t="str">
            <v>2010 - 2022</v>
          </cell>
          <cell r="D278" t="str">
            <v>med_reg_iter</v>
          </cell>
          <cell r="E278" t="str">
            <v>lfls1_s1_a1</v>
          </cell>
          <cell r="F278">
            <v>0.30435913801193237</v>
          </cell>
          <cell r="G278">
            <v>3</v>
          </cell>
        </row>
        <row r="279">
          <cell r="A279" t="str">
            <v>BGD</v>
          </cell>
          <cell r="B279" t="str">
            <v>Middle</v>
          </cell>
          <cell r="C279" t="str">
            <v>2010 - 2022</v>
          </cell>
          <cell r="D279" t="str">
            <v>med_reg_iter</v>
          </cell>
          <cell r="E279" t="str">
            <v>lfls1_s1_a2</v>
          </cell>
          <cell r="F279">
            <v>11.850312232971191</v>
          </cell>
          <cell r="G279">
            <v>3</v>
          </cell>
        </row>
        <row r="280">
          <cell r="A280" t="str">
            <v>BGD</v>
          </cell>
          <cell r="B280" t="str">
            <v>Middle</v>
          </cell>
          <cell r="C280" t="str">
            <v>2010 - 2022</v>
          </cell>
          <cell r="D280" t="str">
            <v>med_reg_iter</v>
          </cell>
          <cell r="E280" t="str">
            <v>lfls1_s1_a3</v>
          </cell>
          <cell r="F280">
            <v>18.053594589233398</v>
          </cell>
          <cell r="G280">
            <v>3</v>
          </cell>
        </row>
        <row r="281">
          <cell r="A281" t="str">
            <v>BGD</v>
          </cell>
          <cell r="B281" t="str">
            <v>Middle</v>
          </cell>
          <cell r="C281" t="str">
            <v>2010 - 2022</v>
          </cell>
          <cell r="D281" t="str">
            <v>med_reg_iter</v>
          </cell>
          <cell r="E281" t="str">
            <v>lfprod_s0_a1</v>
          </cell>
          <cell r="F281">
            <v>-2.8095743656158447</v>
          </cell>
          <cell r="G281">
            <v>3</v>
          </cell>
        </row>
        <row r="282">
          <cell r="A282" t="str">
            <v>BGD</v>
          </cell>
          <cell r="B282" t="str">
            <v>Middle</v>
          </cell>
          <cell r="C282" t="str">
            <v>2010 - 2022</v>
          </cell>
          <cell r="D282" t="str">
            <v>med_reg_iter</v>
          </cell>
          <cell r="E282" t="str">
            <v>lfprod_s0_a2</v>
          </cell>
          <cell r="F282">
            <v>-0.32275795936584473</v>
          </cell>
          <cell r="G282">
            <v>3</v>
          </cell>
        </row>
        <row r="283">
          <cell r="A283" t="str">
            <v>BGD</v>
          </cell>
          <cell r="B283" t="str">
            <v>Middle</v>
          </cell>
          <cell r="C283" t="str">
            <v>2010 - 2022</v>
          </cell>
          <cell r="D283" t="str">
            <v>med_reg_iter</v>
          </cell>
          <cell r="E283" t="str">
            <v>lfprod_s0_a3</v>
          </cell>
          <cell r="F283">
            <v>-11.099226951599121</v>
          </cell>
          <cell r="G283">
            <v>3</v>
          </cell>
        </row>
        <row r="284">
          <cell r="A284" t="str">
            <v>BGD</v>
          </cell>
          <cell r="B284" t="str">
            <v>Middle</v>
          </cell>
          <cell r="C284" t="str">
            <v>2010 - 2022</v>
          </cell>
          <cell r="D284" t="str">
            <v>med_reg_iter</v>
          </cell>
          <cell r="E284" t="str">
            <v>lfprod_s1_a1</v>
          </cell>
          <cell r="F284">
            <v>-0.69564086198806763</v>
          </cell>
          <cell r="G284">
            <v>3</v>
          </cell>
        </row>
        <row r="285">
          <cell r="A285" t="str">
            <v>BGD</v>
          </cell>
          <cell r="B285" t="str">
            <v>Middle</v>
          </cell>
          <cell r="C285" t="str">
            <v>2010 - 2022</v>
          </cell>
          <cell r="D285" t="str">
            <v>med_reg_iter</v>
          </cell>
          <cell r="E285" t="str">
            <v>lfprod_s1_a2</v>
          </cell>
          <cell r="F285">
            <v>10.850312232971191</v>
          </cell>
          <cell r="G285">
            <v>3</v>
          </cell>
        </row>
        <row r="286">
          <cell r="A286" t="str">
            <v>BGD</v>
          </cell>
          <cell r="B286" t="str">
            <v>Middle</v>
          </cell>
          <cell r="C286" t="str">
            <v>2010 - 2022</v>
          </cell>
          <cell r="D286" t="str">
            <v>med_reg_iter</v>
          </cell>
          <cell r="E286" t="str">
            <v>lfprod_s1_a3</v>
          </cell>
          <cell r="F286">
            <v>17.053594589233398</v>
          </cell>
          <cell r="G286">
            <v>3</v>
          </cell>
        </row>
        <row r="287">
          <cell r="A287" t="str">
            <v>BGD</v>
          </cell>
          <cell r="B287" t="str">
            <v>Middle</v>
          </cell>
          <cell r="C287" t="str">
            <v>2010 - 2022</v>
          </cell>
          <cell r="D287" t="str">
            <v>reg</v>
          </cell>
          <cell r="E287" t="str">
            <v>lfls12_S0_A0</v>
          </cell>
          <cell r="F287">
            <v>0.35131591558456421</v>
          </cell>
          <cell r="G287">
            <v>3</v>
          </cell>
        </row>
        <row r="288">
          <cell r="A288" t="str">
            <v>BGD</v>
          </cell>
          <cell r="B288" t="str">
            <v>Middle</v>
          </cell>
          <cell r="C288" t="str">
            <v>2010 - 2022</v>
          </cell>
          <cell r="D288" t="str">
            <v>reg</v>
          </cell>
          <cell r="E288" t="str">
            <v>lfls1_S0_A0</v>
          </cell>
          <cell r="F288">
            <v>0.34650024771690369</v>
          </cell>
          <cell r="G288">
            <v>3</v>
          </cell>
        </row>
        <row r="289">
          <cell r="A289" t="str">
            <v>BGD</v>
          </cell>
          <cell r="B289" t="str">
            <v>Middle</v>
          </cell>
          <cell r="C289" t="str">
            <v>2010 - 2022</v>
          </cell>
          <cell r="D289" t="str">
            <v>reg</v>
          </cell>
          <cell r="E289" t="str">
            <v>lfls1_S0_a1</v>
          </cell>
          <cell r="F289">
            <v>0.40842989087104797</v>
          </cell>
          <cell r="G289">
            <v>3</v>
          </cell>
        </row>
        <row r="290">
          <cell r="A290" t="str">
            <v>BGD</v>
          </cell>
          <cell r="B290" t="str">
            <v>Middle</v>
          </cell>
          <cell r="C290" t="str">
            <v>2010 - 2022</v>
          </cell>
          <cell r="D290" t="str">
            <v>reg</v>
          </cell>
          <cell r="E290" t="str">
            <v>lfls1_S0_a2</v>
          </cell>
          <cell r="F290">
            <v>0.16888178884983063</v>
          </cell>
          <cell r="G290">
            <v>3</v>
          </cell>
        </row>
        <row r="291">
          <cell r="A291" t="str">
            <v>BGD</v>
          </cell>
          <cell r="B291" t="str">
            <v>Middle</v>
          </cell>
          <cell r="C291" t="str">
            <v>2010 - 2022</v>
          </cell>
          <cell r="D291" t="str">
            <v>reg</v>
          </cell>
          <cell r="E291" t="str">
            <v>lfls1_S0_a3</v>
          </cell>
          <cell r="F291">
            <v>0.65942871570587158</v>
          </cell>
          <cell r="G291">
            <v>3</v>
          </cell>
        </row>
        <row r="292">
          <cell r="A292" t="str">
            <v>BGD</v>
          </cell>
          <cell r="B292" t="str">
            <v>Middle</v>
          </cell>
          <cell r="C292" t="str">
            <v>2010 - 2022</v>
          </cell>
          <cell r="D292" t="str">
            <v>reg</v>
          </cell>
          <cell r="E292" t="str">
            <v>lfls1_s0_A0</v>
          </cell>
          <cell r="F292">
            <v>0.26677238941192627</v>
          </cell>
          <cell r="G292">
            <v>3</v>
          </cell>
        </row>
        <row r="293">
          <cell r="A293" t="str">
            <v>BGD</v>
          </cell>
          <cell r="B293" t="str">
            <v>Middle</v>
          </cell>
          <cell r="C293" t="str">
            <v>2010 - 2022</v>
          </cell>
          <cell r="D293" t="str">
            <v>reg</v>
          </cell>
          <cell r="E293" t="str">
            <v>lfls1_s0_a1</v>
          </cell>
          <cell r="F293">
            <v>0.38607856631278992</v>
          </cell>
          <cell r="G293">
            <v>3</v>
          </cell>
        </row>
        <row r="294">
          <cell r="A294" t="str">
            <v>BGD</v>
          </cell>
          <cell r="B294" t="str">
            <v>Middle</v>
          </cell>
          <cell r="C294" t="str">
            <v>2010 - 2022</v>
          </cell>
          <cell r="D294" t="str">
            <v>reg</v>
          </cell>
          <cell r="E294" t="str">
            <v>lfls1_s0_a2</v>
          </cell>
          <cell r="F294">
            <v>0.11853163689374924</v>
          </cell>
          <cell r="G294">
            <v>3</v>
          </cell>
        </row>
        <row r="295">
          <cell r="A295" t="str">
            <v>BGD</v>
          </cell>
          <cell r="B295" t="str">
            <v>Middle</v>
          </cell>
          <cell r="C295" t="str">
            <v>2010 - 2022</v>
          </cell>
          <cell r="D295" t="str">
            <v>reg</v>
          </cell>
          <cell r="E295" t="str">
            <v>lfls1_s0_a3</v>
          </cell>
          <cell r="F295">
            <v>0.47900009155273438</v>
          </cell>
          <cell r="G295">
            <v>3</v>
          </cell>
        </row>
        <row r="296">
          <cell r="A296" t="str">
            <v>BGD</v>
          </cell>
          <cell r="B296" t="str">
            <v>Middle</v>
          </cell>
          <cell r="C296" t="str">
            <v>2010 - 2022</v>
          </cell>
          <cell r="D296" t="str">
            <v>reg</v>
          </cell>
          <cell r="E296" t="str">
            <v>lfls1_s1_A0</v>
          </cell>
          <cell r="F296">
            <v>0.70505416393280029</v>
          </cell>
          <cell r="G296">
            <v>3</v>
          </cell>
        </row>
        <row r="297">
          <cell r="A297" t="str">
            <v>BGD</v>
          </cell>
          <cell r="B297" t="str">
            <v>Middle</v>
          </cell>
          <cell r="C297" t="str">
            <v>2010 - 2022</v>
          </cell>
          <cell r="D297" t="str">
            <v>reg</v>
          </cell>
          <cell r="E297" t="str">
            <v>lfls1_s1_a1</v>
          </cell>
          <cell r="F297">
            <v>1.3045108318328857</v>
          </cell>
          <cell r="G297">
            <v>3</v>
          </cell>
        </row>
        <row r="298">
          <cell r="A298" t="str">
            <v>BGD</v>
          </cell>
          <cell r="B298" t="str">
            <v>Middle</v>
          </cell>
          <cell r="C298" t="str">
            <v>2010 - 2022</v>
          </cell>
          <cell r="D298" t="str">
            <v>reg</v>
          </cell>
          <cell r="E298" t="str">
            <v>lfls1_s1_a2</v>
          </cell>
          <cell r="F298">
            <v>0.93476837873458862</v>
          </cell>
          <cell r="G298">
            <v>3</v>
          </cell>
        </row>
        <row r="299">
          <cell r="A299" t="str">
            <v>BGD</v>
          </cell>
          <cell r="B299" t="str">
            <v>Middle</v>
          </cell>
          <cell r="C299" t="str">
            <v>2010 - 2022</v>
          </cell>
          <cell r="D299" t="str">
            <v>reg</v>
          </cell>
          <cell r="E299" t="str">
            <v>lfls1_s1_a3</v>
          </cell>
          <cell r="F299">
            <v>1.4020854234695435</v>
          </cell>
          <cell r="G299">
            <v>3</v>
          </cell>
        </row>
        <row r="300">
          <cell r="A300" t="str">
            <v>BGD</v>
          </cell>
          <cell r="B300" t="str">
            <v>Middle</v>
          </cell>
          <cell r="C300" t="str">
            <v>2010 - 2022</v>
          </cell>
          <cell r="D300" t="str">
            <v>reg</v>
          </cell>
          <cell r="E300" t="str">
            <v>lfprod_s0_a1</v>
          </cell>
          <cell r="F300">
            <v>-0.6139214038848877</v>
          </cell>
          <cell r="G300">
            <v>3</v>
          </cell>
        </row>
        <row r="301">
          <cell r="A301" t="str">
            <v>BGD</v>
          </cell>
          <cell r="B301" t="str">
            <v>Middle</v>
          </cell>
          <cell r="C301" t="str">
            <v>2010 - 2022</v>
          </cell>
          <cell r="D301" t="str">
            <v>reg</v>
          </cell>
          <cell r="E301" t="str">
            <v>lfprod_s0_a2</v>
          </cell>
          <cell r="F301">
            <v>-0.88146835565567017</v>
          </cell>
          <cell r="G301">
            <v>3</v>
          </cell>
        </row>
        <row r="302">
          <cell r="A302" t="str">
            <v>BGD</v>
          </cell>
          <cell r="B302" t="str">
            <v>Middle</v>
          </cell>
          <cell r="C302" t="str">
            <v>2010 - 2022</v>
          </cell>
          <cell r="D302" t="str">
            <v>reg</v>
          </cell>
          <cell r="E302" t="str">
            <v>lfprod_s0_a3</v>
          </cell>
          <cell r="F302">
            <v>-0.52099990844726563</v>
          </cell>
          <cell r="G302">
            <v>3</v>
          </cell>
        </row>
        <row r="303">
          <cell r="A303" t="str">
            <v>BGD</v>
          </cell>
          <cell r="B303" t="str">
            <v>Middle</v>
          </cell>
          <cell r="C303" t="str">
            <v>2010 - 2022</v>
          </cell>
          <cell r="D303" t="str">
            <v>reg</v>
          </cell>
          <cell r="E303" t="str">
            <v>lfprod_s1_a1</v>
          </cell>
          <cell r="F303">
            <v>0.30451083183288574</v>
          </cell>
          <cell r="G303">
            <v>3</v>
          </cell>
        </row>
        <row r="304">
          <cell r="A304" t="str">
            <v>BGD</v>
          </cell>
          <cell r="B304" t="str">
            <v>Middle</v>
          </cell>
          <cell r="C304" t="str">
            <v>2010 - 2022</v>
          </cell>
          <cell r="D304" t="str">
            <v>reg</v>
          </cell>
          <cell r="E304" t="str">
            <v>lfprod_s1_a2</v>
          </cell>
          <cell r="F304">
            <v>-6.5231643617153168E-2</v>
          </cell>
          <cell r="G304">
            <v>3</v>
          </cell>
        </row>
        <row r="305">
          <cell r="A305" t="str">
            <v>BGD</v>
          </cell>
          <cell r="B305" t="str">
            <v>Middle</v>
          </cell>
          <cell r="C305" t="str">
            <v>2010 - 2022</v>
          </cell>
          <cell r="D305" t="str">
            <v>reg</v>
          </cell>
          <cell r="E305" t="str">
            <v>lfprod_s1_a3</v>
          </cell>
          <cell r="F305">
            <v>0.40208545327186584</v>
          </cell>
          <cell r="G305">
            <v>3</v>
          </cell>
        </row>
        <row r="306">
          <cell r="A306" t="str">
            <v>BGD</v>
          </cell>
          <cell r="B306" t="str">
            <v>Middle</v>
          </cell>
          <cell r="C306" t="str">
            <v>2010 - 2022</v>
          </cell>
          <cell r="D306" t="str">
            <v>reg_gdp</v>
          </cell>
          <cell r="E306" t="str">
            <v>lfls12_S0_A0</v>
          </cell>
          <cell r="F306">
            <v>0.35131591558456421</v>
          </cell>
          <cell r="G306">
            <v>3</v>
          </cell>
        </row>
        <row r="307">
          <cell r="A307" t="str">
            <v>BGD</v>
          </cell>
          <cell r="B307" t="str">
            <v>Middle</v>
          </cell>
          <cell r="C307" t="str">
            <v>2010 - 2022</v>
          </cell>
          <cell r="D307" t="str">
            <v>reg_gdp</v>
          </cell>
          <cell r="E307" t="str">
            <v>lfls1_S0_A0</v>
          </cell>
          <cell r="F307">
            <v>0.34650024771690369</v>
          </cell>
          <cell r="G307">
            <v>3</v>
          </cell>
        </row>
        <row r="308">
          <cell r="A308" t="str">
            <v>BGD</v>
          </cell>
          <cell r="B308" t="str">
            <v>Middle</v>
          </cell>
          <cell r="C308" t="str">
            <v>2010 - 2022</v>
          </cell>
          <cell r="D308" t="str">
            <v>reg_gdp</v>
          </cell>
          <cell r="E308" t="str">
            <v>lfls1_S0_a1</v>
          </cell>
          <cell r="F308">
            <v>0.42949250340461731</v>
          </cell>
          <cell r="G308">
            <v>3</v>
          </cell>
        </row>
        <row r="309">
          <cell r="A309" t="str">
            <v>BGD</v>
          </cell>
          <cell r="B309" t="str">
            <v>Middle</v>
          </cell>
          <cell r="C309" t="str">
            <v>2010 - 2022</v>
          </cell>
          <cell r="D309" t="str">
            <v>reg_gdp</v>
          </cell>
          <cell r="E309" t="str">
            <v>lfls1_S0_a2</v>
          </cell>
          <cell r="F309">
            <v>2.524463415145874</v>
          </cell>
          <cell r="G309">
            <v>3</v>
          </cell>
        </row>
        <row r="310">
          <cell r="A310" t="str">
            <v>BGD</v>
          </cell>
          <cell r="B310" t="str">
            <v>Middle</v>
          </cell>
          <cell r="C310" t="str">
            <v>2010 - 2022</v>
          </cell>
          <cell r="D310" t="str">
            <v>reg_gdp</v>
          </cell>
          <cell r="E310" t="str">
            <v>lfls1_S0_a3</v>
          </cell>
          <cell r="F310">
            <v>-2.387270450592041</v>
          </cell>
          <cell r="G310">
            <v>3</v>
          </cell>
        </row>
        <row r="311">
          <cell r="A311" t="str">
            <v>BGD</v>
          </cell>
          <cell r="B311" t="str">
            <v>Middle</v>
          </cell>
          <cell r="C311" t="str">
            <v>2010 - 2022</v>
          </cell>
          <cell r="D311" t="str">
            <v>reg_gdp</v>
          </cell>
          <cell r="E311" t="str">
            <v>lfls1_s0_A0</v>
          </cell>
          <cell r="F311">
            <v>0.26677238941192627</v>
          </cell>
          <cell r="G311">
            <v>3</v>
          </cell>
        </row>
        <row r="312">
          <cell r="A312" t="str">
            <v>BGD</v>
          </cell>
          <cell r="B312" t="str">
            <v>Middle</v>
          </cell>
          <cell r="C312" t="str">
            <v>2010 - 2022</v>
          </cell>
          <cell r="D312" t="str">
            <v>reg_gdp</v>
          </cell>
          <cell r="E312" t="str">
            <v>lfls1_s0_a1</v>
          </cell>
          <cell r="F312">
            <v>-2.5847146511077881</v>
          </cell>
          <cell r="G312">
            <v>3</v>
          </cell>
        </row>
        <row r="313">
          <cell r="A313" t="str">
            <v>BGD</v>
          </cell>
          <cell r="B313" t="str">
            <v>Middle</v>
          </cell>
          <cell r="C313" t="str">
            <v>2010 - 2022</v>
          </cell>
          <cell r="D313" t="str">
            <v>reg_gdp</v>
          </cell>
          <cell r="E313" t="str">
            <v>lfls1_s0_a2</v>
          </cell>
          <cell r="F313">
            <v>2.0421957969665527</v>
          </cell>
          <cell r="G313">
            <v>3</v>
          </cell>
        </row>
        <row r="314">
          <cell r="A314" t="str">
            <v>BGD</v>
          </cell>
          <cell r="B314" t="str">
            <v>Middle</v>
          </cell>
          <cell r="C314" t="str">
            <v>2010 - 2022</v>
          </cell>
          <cell r="D314" t="str">
            <v>reg_gdp</v>
          </cell>
          <cell r="E314" t="str">
            <v>lfls1_s0_a3</v>
          </cell>
          <cell r="F314">
            <v>-2.5457243919372559</v>
          </cell>
          <cell r="G314">
            <v>3</v>
          </cell>
        </row>
        <row r="315">
          <cell r="A315" t="str">
            <v>BGD</v>
          </cell>
          <cell r="B315" t="str">
            <v>Middle</v>
          </cell>
          <cell r="C315" t="str">
            <v>2010 - 2022</v>
          </cell>
          <cell r="D315" t="str">
            <v>reg_gdp</v>
          </cell>
          <cell r="E315" t="str">
            <v>lfls1_s1_A0</v>
          </cell>
          <cell r="F315">
            <v>0.70505416393280029</v>
          </cell>
          <cell r="G315">
            <v>3</v>
          </cell>
        </row>
        <row r="316">
          <cell r="A316" t="str">
            <v>BGD</v>
          </cell>
          <cell r="B316" t="str">
            <v>Middle</v>
          </cell>
          <cell r="C316" t="str">
            <v>2010 - 2022</v>
          </cell>
          <cell r="D316" t="str">
            <v>reg_gdp</v>
          </cell>
          <cell r="E316" t="str">
            <v>lfls1_s1_a1</v>
          </cell>
          <cell r="F316">
            <v>3.2255244255065918</v>
          </cell>
          <cell r="G316">
            <v>3</v>
          </cell>
        </row>
        <row r="317">
          <cell r="A317" t="str">
            <v>BGD</v>
          </cell>
          <cell r="B317" t="str">
            <v>Middle</v>
          </cell>
          <cell r="C317" t="str">
            <v>2010 - 2022</v>
          </cell>
          <cell r="D317" t="str">
            <v>reg_gdp</v>
          </cell>
          <cell r="E317" t="str">
            <v>lfls1_s1_a2</v>
          </cell>
          <cell r="F317">
            <v>9.8033332824707031</v>
          </cell>
          <cell r="G317">
            <v>3</v>
          </cell>
        </row>
        <row r="318">
          <cell r="A318" t="str">
            <v>BGD</v>
          </cell>
          <cell r="B318" t="str">
            <v>Middle</v>
          </cell>
          <cell r="C318" t="str">
            <v>2010 - 2022</v>
          </cell>
          <cell r="D318" t="str">
            <v>reg_gdp</v>
          </cell>
          <cell r="E318" t="str">
            <v>lfls1_s1_a3</v>
          </cell>
          <cell r="F318">
            <v>6.1793012619018555</v>
          </cell>
          <cell r="G318">
            <v>3</v>
          </cell>
        </row>
        <row r="319">
          <cell r="A319" t="str">
            <v>BGD</v>
          </cell>
          <cell r="B319" t="str">
            <v>Middle</v>
          </cell>
          <cell r="C319" t="str">
            <v>2010 - 2022</v>
          </cell>
          <cell r="D319" t="str">
            <v>reg_gdp</v>
          </cell>
          <cell r="E319" t="str">
            <v>lfprod_s0_a1</v>
          </cell>
          <cell r="F319">
            <v>-3.5847146511077881</v>
          </cell>
          <cell r="G319">
            <v>3</v>
          </cell>
        </row>
        <row r="320">
          <cell r="A320" t="str">
            <v>BGD</v>
          </cell>
          <cell r="B320" t="str">
            <v>Middle</v>
          </cell>
          <cell r="C320" t="str">
            <v>2010 - 2022</v>
          </cell>
          <cell r="D320" t="str">
            <v>reg_gdp</v>
          </cell>
          <cell r="E320" t="str">
            <v>lfprod_s0_a2</v>
          </cell>
          <cell r="F320">
            <v>1.0421956777572632</v>
          </cell>
          <cell r="G320">
            <v>3</v>
          </cell>
        </row>
        <row r="321">
          <cell r="A321" t="str">
            <v>BGD</v>
          </cell>
          <cell r="B321" t="str">
            <v>Middle</v>
          </cell>
          <cell r="C321" t="str">
            <v>2010 - 2022</v>
          </cell>
          <cell r="D321" t="str">
            <v>reg_gdp</v>
          </cell>
          <cell r="E321" t="str">
            <v>lfprod_s0_a3</v>
          </cell>
          <cell r="F321">
            <v>-3.5457243919372559</v>
          </cell>
          <cell r="G321">
            <v>3</v>
          </cell>
        </row>
        <row r="322">
          <cell r="A322" t="str">
            <v>BGD</v>
          </cell>
          <cell r="B322" t="str">
            <v>Middle</v>
          </cell>
          <cell r="C322" t="str">
            <v>2010 - 2022</v>
          </cell>
          <cell r="D322" t="str">
            <v>reg_gdp</v>
          </cell>
          <cell r="E322" t="str">
            <v>lfprod_s1_a1</v>
          </cell>
          <cell r="F322">
            <v>2.2255244255065918</v>
          </cell>
          <cell r="G322">
            <v>3</v>
          </cell>
        </row>
        <row r="323">
          <cell r="A323" t="str">
            <v>BGD</v>
          </cell>
          <cell r="B323" t="str">
            <v>Middle</v>
          </cell>
          <cell r="C323" t="str">
            <v>2010 - 2022</v>
          </cell>
          <cell r="D323" t="str">
            <v>reg_gdp</v>
          </cell>
          <cell r="E323" t="str">
            <v>lfprod_s1_a2</v>
          </cell>
          <cell r="F323">
            <v>8.8033332824707031</v>
          </cell>
          <cell r="G323">
            <v>3</v>
          </cell>
        </row>
        <row r="324">
          <cell r="A324" t="str">
            <v>BGD</v>
          </cell>
          <cell r="B324" t="str">
            <v>Middle</v>
          </cell>
          <cell r="C324" t="str">
            <v>2010 - 2022</v>
          </cell>
          <cell r="D324" t="str">
            <v>reg_gdp</v>
          </cell>
          <cell r="E324" t="str">
            <v>lfprod_s1_a3</v>
          </cell>
          <cell r="F324">
            <v>5.1793012619018555</v>
          </cell>
          <cell r="G324">
            <v>3</v>
          </cell>
        </row>
        <row r="325">
          <cell r="A325" t="str">
            <v>BGD</v>
          </cell>
          <cell r="B325" t="str">
            <v>Middle</v>
          </cell>
          <cell r="C325" t="str">
            <v>2010 - 2022</v>
          </cell>
          <cell r="D325" t="str">
            <v>reg_iter</v>
          </cell>
          <cell r="E325" t="str">
            <v>lfls12_S0_A0</v>
          </cell>
          <cell r="F325">
            <v>0.35131591558456421</v>
          </cell>
          <cell r="G325">
            <v>3</v>
          </cell>
        </row>
        <row r="326">
          <cell r="A326" t="str">
            <v>BGD</v>
          </cell>
          <cell r="B326" t="str">
            <v>Middle</v>
          </cell>
          <cell r="C326" t="str">
            <v>2010 - 2022</v>
          </cell>
          <cell r="D326" t="str">
            <v>reg_iter</v>
          </cell>
          <cell r="E326" t="str">
            <v>lfls1_S0_A0</v>
          </cell>
          <cell r="F326">
            <v>0.34650024771690369</v>
          </cell>
          <cell r="G326">
            <v>3</v>
          </cell>
        </row>
        <row r="327">
          <cell r="A327" t="str">
            <v>BGD</v>
          </cell>
          <cell r="B327" t="str">
            <v>Middle</v>
          </cell>
          <cell r="C327" t="str">
            <v>2010 - 2022</v>
          </cell>
          <cell r="D327" t="str">
            <v>reg_iter</v>
          </cell>
          <cell r="E327" t="str">
            <v>lfls1_S0_a1</v>
          </cell>
          <cell r="F327">
            <v>0.42949250340461731</v>
          </cell>
          <cell r="G327">
            <v>3</v>
          </cell>
        </row>
        <row r="328">
          <cell r="A328" t="str">
            <v>BGD</v>
          </cell>
          <cell r="B328" t="str">
            <v>Middle</v>
          </cell>
          <cell r="C328" t="str">
            <v>2010 - 2022</v>
          </cell>
          <cell r="D328" t="str">
            <v>reg_iter</v>
          </cell>
          <cell r="E328" t="str">
            <v>lfls1_S0_a2</v>
          </cell>
          <cell r="F328">
            <v>2.524463415145874</v>
          </cell>
          <cell r="G328">
            <v>3</v>
          </cell>
        </row>
        <row r="329">
          <cell r="A329" t="str">
            <v>BGD</v>
          </cell>
          <cell r="B329" t="str">
            <v>Middle</v>
          </cell>
          <cell r="C329" t="str">
            <v>2010 - 2022</v>
          </cell>
          <cell r="D329" t="str">
            <v>reg_iter</v>
          </cell>
          <cell r="E329" t="str">
            <v>lfls1_S0_a3</v>
          </cell>
          <cell r="F329">
            <v>-2.387270450592041</v>
          </cell>
          <cell r="G329">
            <v>3</v>
          </cell>
        </row>
        <row r="330">
          <cell r="A330" t="str">
            <v>BGD</v>
          </cell>
          <cell r="B330" t="str">
            <v>Middle</v>
          </cell>
          <cell r="C330" t="str">
            <v>2010 - 2022</v>
          </cell>
          <cell r="D330" t="str">
            <v>reg_iter</v>
          </cell>
          <cell r="E330" t="str">
            <v>lfls1_s0_A0</v>
          </cell>
          <cell r="F330">
            <v>0.26677238941192627</v>
          </cell>
          <cell r="G330">
            <v>3</v>
          </cell>
        </row>
        <row r="331">
          <cell r="A331" t="str">
            <v>BGD</v>
          </cell>
          <cell r="B331" t="str">
            <v>Middle</v>
          </cell>
          <cell r="C331" t="str">
            <v>2010 - 2022</v>
          </cell>
          <cell r="D331" t="str">
            <v>reg_iter</v>
          </cell>
          <cell r="E331" t="str">
            <v>lfls1_s0_a1</v>
          </cell>
          <cell r="F331">
            <v>-2.5847146511077881</v>
          </cell>
          <cell r="G331">
            <v>3</v>
          </cell>
        </row>
        <row r="332">
          <cell r="A332" t="str">
            <v>BGD</v>
          </cell>
          <cell r="B332" t="str">
            <v>Middle</v>
          </cell>
          <cell r="C332" t="str">
            <v>2010 - 2022</v>
          </cell>
          <cell r="D332" t="str">
            <v>reg_iter</v>
          </cell>
          <cell r="E332" t="str">
            <v>lfls1_s0_a2</v>
          </cell>
          <cell r="F332">
            <v>2.0421957969665527</v>
          </cell>
          <cell r="G332">
            <v>3</v>
          </cell>
        </row>
        <row r="333">
          <cell r="A333" t="str">
            <v>BGD</v>
          </cell>
          <cell r="B333" t="str">
            <v>Middle</v>
          </cell>
          <cell r="C333" t="str">
            <v>2010 - 2022</v>
          </cell>
          <cell r="D333" t="str">
            <v>reg_iter</v>
          </cell>
          <cell r="E333" t="str">
            <v>lfls1_s0_a3</v>
          </cell>
          <cell r="F333">
            <v>-2.5457243919372559</v>
          </cell>
          <cell r="G333">
            <v>3</v>
          </cell>
        </row>
        <row r="334">
          <cell r="A334" t="str">
            <v>BGD</v>
          </cell>
          <cell r="B334" t="str">
            <v>Middle</v>
          </cell>
          <cell r="C334" t="str">
            <v>2010 - 2022</v>
          </cell>
          <cell r="D334" t="str">
            <v>reg_iter</v>
          </cell>
          <cell r="E334" t="str">
            <v>lfls1_s1_A0</v>
          </cell>
          <cell r="F334">
            <v>0.70505416393280029</v>
          </cell>
          <cell r="G334">
            <v>3</v>
          </cell>
        </row>
        <row r="335">
          <cell r="A335" t="str">
            <v>BGD</v>
          </cell>
          <cell r="B335" t="str">
            <v>Middle</v>
          </cell>
          <cell r="C335" t="str">
            <v>2010 - 2022</v>
          </cell>
          <cell r="D335" t="str">
            <v>reg_iter</v>
          </cell>
          <cell r="E335" t="str">
            <v>lfls1_s1_a1</v>
          </cell>
          <cell r="F335">
            <v>3.2255244255065918</v>
          </cell>
          <cell r="G335">
            <v>3</v>
          </cell>
        </row>
        <row r="336">
          <cell r="A336" t="str">
            <v>BGD</v>
          </cell>
          <cell r="B336" t="str">
            <v>Middle</v>
          </cell>
          <cell r="C336" t="str">
            <v>2010 - 2022</v>
          </cell>
          <cell r="D336" t="str">
            <v>reg_iter</v>
          </cell>
          <cell r="E336" t="str">
            <v>lfls1_s1_a2</v>
          </cell>
          <cell r="F336">
            <v>9.8033332824707031</v>
          </cell>
          <cell r="G336">
            <v>3</v>
          </cell>
        </row>
        <row r="337">
          <cell r="A337" t="str">
            <v>BGD</v>
          </cell>
          <cell r="B337" t="str">
            <v>Middle</v>
          </cell>
          <cell r="C337" t="str">
            <v>2010 - 2022</v>
          </cell>
          <cell r="D337" t="str">
            <v>reg_iter</v>
          </cell>
          <cell r="E337" t="str">
            <v>lfls1_s1_a3</v>
          </cell>
          <cell r="F337">
            <v>6.1793012619018555</v>
          </cell>
          <cell r="G337">
            <v>3</v>
          </cell>
        </row>
        <row r="338">
          <cell r="A338" t="str">
            <v>BGD</v>
          </cell>
          <cell r="B338" t="str">
            <v>Middle</v>
          </cell>
          <cell r="C338" t="str">
            <v>2010 - 2022</v>
          </cell>
          <cell r="D338" t="str">
            <v>reg_iter</v>
          </cell>
          <cell r="E338" t="str">
            <v>lfprod_s0_a1</v>
          </cell>
          <cell r="F338">
            <v>-3.5847146511077881</v>
          </cell>
          <cell r="G338">
            <v>3</v>
          </cell>
        </row>
        <row r="339">
          <cell r="A339" t="str">
            <v>BGD</v>
          </cell>
          <cell r="B339" t="str">
            <v>Middle</v>
          </cell>
          <cell r="C339" t="str">
            <v>2010 - 2022</v>
          </cell>
          <cell r="D339" t="str">
            <v>reg_iter</v>
          </cell>
          <cell r="E339" t="str">
            <v>lfprod_s0_a2</v>
          </cell>
          <cell r="F339">
            <v>1.0421956777572632</v>
          </cell>
          <cell r="G339">
            <v>3</v>
          </cell>
        </row>
        <row r="340">
          <cell r="A340" t="str">
            <v>BGD</v>
          </cell>
          <cell r="B340" t="str">
            <v>Middle</v>
          </cell>
          <cell r="C340" t="str">
            <v>2010 - 2022</v>
          </cell>
          <cell r="D340" t="str">
            <v>reg_iter</v>
          </cell>
          <cell r="E340" t="str">
            <v>lfprod_s0_a3</v>
          </cell>
          <cell r="F340">
            <v>-3.5457243919372559</v>
          </cell>
          <cell r="G340">
            <v>3</v>
          </cell>
        </row>
        <row r="341">
          <cell r="A341" t="str">
            <v>BGD</v>
          </cell>
          <cell r="B341" t="str">
            <v>Middle</v>
          </cell>
          <cell r="C341" t="str">
            <v>2010 - 2022</v>
          </cell>
          <cell r="D341" t="str">
            <v>reg_iter</v>
          </cell>
          <cell r="E341" t="str">
            <v>lfprod_s1_a1</v>
          </cell>
          <cell r="F341">
            <v>2.2255244255065918</v>
          </cell>
          <cell r="G341">
            <v>3</v>
          </cell>
        </row>
        <row r="342">
          <cell r="A342" t="str">
            <v>BGD</v>
          </cell>
          <cell r="B342" t="str">
            <v>Middle</v>
          </cell>
          <cell r="C342" t="str">
            <v>2010 - 2022</v>
          </cell>
          <cell r="D342" t="str">
            <v>reg_iter</v>
          </cell>
          <cell r="E342" t="str">
            <v>lfprod_s1_a2</v>
          </cell>
          <cell r="F342">
            <v>8.8033332824707031</v>
          </cell>
          <cell r="G342">
            <v>3</v>
          </cell>
        </row>
        <row r="343">
          <cell r="A343" t="str">
            <v>BGD</v>
          </cell>
          <cell r="B343" t="str">
            <v>Middle</v>
          </cell>
          <cell r="C343" t="str">
            <v>2010 - 2022</v>
          </cell>
          <cell r="D343" t="str">
            <v>reg_iter</v>
          </cell>
          <cell r="E343" t="str">
            <v>lfprod_s1_a3</v>
          </cell>
          <cell r="F343">
            <v>5.1793012619018555</v>
          </cell>
          <cell r="G343">
            <v>3</v>
          </cell>
        </row>
        <row r="344">
          <cell r="A344" t="str">
            <v>BGD</v>
          </cell>
          <cell r="B344" t="str">
            <v>Short</v>
          </cell>
          <cell r="C344" t="str">
            <v>2015 - 2022</v>
          </cell>
          <cell r="D344" t="str">
            <v>avg</v>
          </cell>
          <cell r="E344" t="str">
            <v>lfls12_S0_A0</v>
          </cell>
          <cell r="F344">
            <v>0.30144312977790833</v>
          </cell>
          <cell r="G344">
            <v>3</v>
          </cell>
        </row>
        <row r="345">
          <cell r="A345" t="str">
            <v>BGD</v>
          </cell>
          <cell r="B345" t="str">
            <v>Short</v>
          </cell>
          <cell r="C345" t="str">
            <v>2015 - 2022</v>
          </cell>
          <cell r="D345" t="str">
            <v>avg</v>
          </cell>
          <cell r="E345" t="str">
            <v>lfls1_S0_A0</v>
          </cell>
          <cell r="F345">
            <v>0.29684466123580933</v>
          </cell>
          <cell r="G345">
            <v>3</v>
          </cell>
        </row>
        <row r="346">
          <cell r="A346" t="str">
            <v>BGD</v>
          </cell>
          <cell r="B346" t="str">
            <v>Short</v>
          </cell>
          <cell r="C346" t="str">
            <v>2015 - 2022</v>
          </cell>
          <cell r="D346" t="str">
            <v>avg</v>
          </cell>
          <cell r="E346" t="str">
            <v>lfls1_S0_a1</v>
          </cell>
          <cell r="F346">
            <v>0.28965547680854797</v>
          </cell>
          <cell r="G346">
            <v>3</v>
          </cell>
        </row>
        <row r="347">
          <cell r="A347" t="str">
            <v>BGD</v>
          </cell>
          <cell r="B347" t="str">
            <v>Short</v>
          </cell>
          <cell r="C347" t="str">
            <v>2015 - 2022</v>
          </cell>
          <cell r="D347" t="str">
            <v>avg</v>
          </cell>
          <cell r="E347" t="str">
            <v>lfls1_S0_a2</v>
          </cell>
          <cell r="F347">
            <v>5.8713890612125397E-2</v>
          </cell>
          <cell r="G347">
            <v>3</v>
          </cell>
        </row>
        <row r="348">
          <cell r="A348" t="str">
            <v>BGD</v>
          </cell>
          <cell r="B348" t="str">
            <v>Short</v>
          </cell>
          <cell r="C348" t="str">
            <v>2015 - 2022</v>
          </cell>
          <cell r="D348" t="str">
            <v>avg</v>
          </cell>
          <cell r="E348" t="str">
            <v>lfls1_S0_a3</v>
          </cell>
          <cell r="F348">
            <v>0.90281343460083008</v>
          </cell>
          <cell r="G348">
            <v>3</v>
          </cell>
        </row>
        <row r="349">
          <cell r="A349" t="str">
            <v>BGD</v>
          </cell>
          <cell r="B349" t="str">
            <v>Short</v>
          </cell>
          <cell r="C349" t="str">
            <v>2015 - 2022</v>
          </cell>
          <cell r="D349" t="str">
            <v>avg</v>
          </cell>
          <cell r="E349" t="str">
            <v>lfls1_s0_A0</v>
          </cell>
          <cell r="F349">
            <v>0.64339053630828857</v>
          </cell>
          <cell r="G349">
            <v>3</v>
          </cell>
        </row>
        <row r="350">
          <cell r="A350" t="str">
            <v>BGD</v>
          </cell>
          <cell r="B350" t="str">
            <v>Short</v>
          </cell>
          <cell r="C350" t="str">
            <v>2015 - 2022</v>
          </cell>
          <cell r="D350" t="str">
            <v>avg</v>
          </cell>
          <cell r="E350" t="str">
            <v>lfls1_s0_a1</v>
          </cell>
          <cell r="F350">
            <v>4.4583425521850586</v>
          </cell>
          <cell r="G350">
            <v>3</v>
          </cell>
        </row>
        <row r="351">
          <cell r="A351" t="str">
            <v>BGD</v>
          </cell>
          <cell r="B351" t="str">
            <v>Short</v>
          </cell>
          <cell r="C351" t="str">
            <v>2015 - 2022</v>
          </cell>
          <cell r="D351" t="str">
            <v>avg</v>
          </cell>
          <cell r="E351" t="str">
            <v>lfls1_s0_a2</v>
          </cell>
          <cell r="F351">
            <v>-9.5537863671779633E-3</v>
          </cell>
          <cell r="G351">
            <v>3</v>
          </cell>
        </row>
        <row r="352">
          <cell r="A352" t="str">
            <v>BGD</v>
          </cell>
          <cell r="B352" t="str">
            <v>Short</v>
          </cell>
          <cell r="C352" t="str">
            <v>2015 - 2022</v>
          </cell>
          <cell r="D352" t="str">
            <v>avg</v>
          </cell>
          <cell r="E352" t="str">
            <v>lfls1_s0_a3</v>
          </cell>
          <cell r="F352">
            <v>0.88726180791854858</v>
          </cell>
          <cell r="G352">
            <v>3</v>
          </cell>
        </row>
        <row r="353">
          <cell r="A353" t="str">
            <v>BGD</v>
          </cell>
          <cell r="B353" t="str">
            <v>Short</v>
          </cell>
          <cell r="C353" t="str">
            <v>2015 - 2022</v>
          </cell>
          <cell r="D353" t="str">
            <v>avg</v>
          </cell>
          <cell r="E353" t="str">
            <v>lfls1_s1_A0</v>
          </cell>
          <cell r="F353">
            <v>-0.17981988191604614</v>
          </cell>
          <cell r="G353">
            <v>3</v>
          </cell>
        </row>
        <row r="354">
          <cell r="A354" t="str">
            <v>BGD</v>
          </cell>
          <cell r="B354" t="str">
            <v>Short</v>
          </cell>
          <cell r="C354" t="str">
            <v>2015 - 2022</v>
          </cell>
          <cell r="D354" t="str">
            <v>avg</v>
          </cell>
          <cell r="E354" t="str">
            <v>lfls1_s1_a1</v>
          </cell>
          <cell r="F354">
            <v>-0.84124022722244263</v>
          </cell>
          <cell r="G354">
            <v>3</v>
          </cell>
        </row>
        <row r="355">
          <cell r="A355" t="str">
            <v>BGD</v>
          </cell>
          <cell r="B355" t="str">
            <v>Short</v>
          </cell>
          <cell r="C355" t="str">
            <v>2015 - 2022</v>
          </cell>
          <cell r="D355" t="str">
            <v>avg</v>
          </cell>
          <cell r="E355" t="str">
            <v>lfls1_s1_a2</v>
          </cell>
          <cell r="F355">
            <v>1.2176457643508911</v>
          </cell>
          <cell r="G355">
            <v>3</v>
          </cell>
        </row>
        <row r="356">
          <cell r="A356" t="str">
            <v>BGD</v>
          </cell>
          <cell r="B356" t="str">
            <v>Short</v>
          </cell>
          <cell r="C356" t="str">
            <v>2015 - 2022</v>
          </cell>
          <cell r="D356" t="str">
            <v>avg</v>
          </cell>
          <cell r="E356" t="str">
            <v>lfls1_s1_a3</v>
          </cell>
          <cell r="F356">
            <v>0.99762457609176636</v>
          </cell>
          <cell r="G356">
            <v>3</v>
          </cell>
        </row>
        <row r="357">
          <cell r="A357" t="str">
            <v>BGD</v>
          </cell>
          <cell r="B357" t="str">
            <v>Short</v>
          </cell>
          <cell r="C357" t="str">
            <v>2015 - 2022</v>
          </cell>
          <cell r="D357" t="str">
            <v>avg</v>
          </cell>
          <cell r="E357" t="str">
            <v>lfprod_s0_a1</v>
          </cell>
          <cell r="F357">
            <v>2.9618732929229736</v>
          </cell>
          <cell r="G357">
            <v>3</v>
          </cell>
        </row>
        <row r="358">
          <cell r="A358" t="str">
            <v>BGD</v>
          </cell>
          <cell r="B358" t="str">
            <v>Short</v>
          </cell>
          <cell r="C358" t="str">
            <v>2015 - 2022</v>
          </cell>
          <cell r="D358" t="str">
            <v>avg</v>
          </cell>
          <cell r="E358" t="str">
            <v>lfprod_s0_a2</v>
          </cell>
          <cell r="F358">
            <v>-0.77346688508987427</v>
          </cell>
          <cell r="G358">
            <v>3</v>
          </cell>
        </row>
        <row r="359">
          <cell r="A359" t="str">
            <v>BGD</v>
          </cell>
          <cell r="B359" t="str">
            <v>Short</v>
          </cell>
          <cell r="C359" t="str">
            <v>2015 - 2022</v>
          </cell>
          <cell r="D359" t="str">
            <v>avg</v>
          </cell>
          <cell r="E359" t="str">
            <v>lfprod_s0_a3</v>
          </cell>
          <cell r="F359">
            <v>-5.1201559603214264E-2</v>
          </cell>
          <cell r="G359">
            <v>3</v>
          </cell>
        </row>
        <row r="360">
          <cell r="A360" t="str">
            <v>BGD</v>
          </cell>
          <cell r="B360" t="str">
            <v>Short</v>
          </cell>
          <cell r="C360" t="str">
            <v>2015 - 2022</v>
          </cell>
          <cell r="D360" t="str">
            <v>avg</v>
          </cell>
          <cell r="E360" t="str">
            <v>lfprod_s1_a1</v>
          </cell>
          <cell r="F360">
            <v>-1.6635783910751343</v>
          </cell>
          <cell r="G360">
            <v>3</v>
          </cell>
        </row>
        <row r="361">
          <cell r="A361" t="str">
            <v>BGD</v>
          </cell>
          <cell r="B361" t="str">
            <v>Short</v>
          </cell>
          <cell r="C361" t="str">
            <v>2015 - 2022</v>
          </cell>
          <cell r="D361" t="str">
            <v>avg</v>
          </cell>
          <cell r="E361" t="str">
            <v>lfprod_s1_a2</v>
          </cell>
          <cell r="F361">
            <v>0.26265612244606018</v>
          </cell>
          <cell r="G361">
            <v>3</v>
          </cell>
        </row>
        <row r="362">
          <cell r="A362" t="str">
            <v>BGD</v>
          </cell>
          <cell r="B362" t="str">
            <v>Short</v>
          </cell>
          <cell r="C362" t="str">
            <v>2015 - 2022</v>
          </cell>
          <cell r="D362" t="str">
            <v>avg</v>
          </cell>
          <cell r="E362" t="str">
            <v>lfprod_s1_a3</v>
          </cell>
          <cell r="F362">
            <v>-5.4674252867698669E-2</v>
          </cell>
          <cell r="G362">
            <v>3</v>
          </cell>
        </row>
        <row r="363">
          <cell r="A363" t="str">
            <v>BGD</v>
          </cell>
          <cell r="B363" t="str">
            <v>Short</v>
          </cell>
          <cell r="C363" t="str">
            <v>2015 - 2022</v>
          </cell>
          <cell r="D363" t="str">
            <v>avg_1_99</v>
          </cell>
          <cell r="E363" t="str">
            <v>lfls12_S0_A0</v>
          </cell>
          <cell r="F363">
            <v>0.31307488679885864</v>
          </cell>
          <cell r="G363">
            <v>3</v>
          </cell>
        </row>
        <row r="364">
          <cell r="A364" t="str">
            <v>BGD</v>
          </cell>
          <cell r="B364" t="str">
            <v>Short</v>
          </cell>
          <cell r="C364" t="str">
            <v>2015 - 2022</v>
          </cell>
          <cell r="D364" t="str">
            <v>avg_1_99</v>
          </cell>
          <cell r="E364" t="str">
            <v>lfls1_S0_A0</v>
          </cell>
          <cell r="F364">
            <v>0.32965004444122314</v>
          </cell>
          <cell r="G364">
            <v>3</v>
          </cell>
        </row>
        <row r="365">
          <cell r="A365" t="str">
            <v>BGD</v>
          </cell>
          <cell r="B365" t="str">
            <v>Short</v>
          </cell>
          <cell r="C365" t="str">
            <v>2015 - 2022</v>
          </cell>
          <cell r="D365" t="str">
            <v>avg_1_99</v>
          </cell>
          <cell r="E365" t="str">
            <v>lfls1_S0_a1</v>
          </cell>
          <cell r="F365">
            <v>0.45131835341453552</v>
          </cell>
          <cell r="G365">
            <v>3</v>
          </cell>
        </row>
        <row r="366">
          <cell r="A366" t="str">
            <v>BGD</v>
          </cell>
          <cell r="B366" t="str">
            <v>Short</v>
          </cell>
          <cell r="C366" t="str">
            <v>2015 - 2022</v>
          </cell>
          <cell r="D366" t="str">
            <v>avg_1_99</v>
          </cell>
          <cell r="E366" t="str">
            <v>lfls1_S0_a2</v>
          </cell>
          <cell r="F366">
            <v>6.3779465854167938E-2</v>
          </cell>
          <cell r="G366">
            <v>3</v>
          </cell>
        </row>
        <row r="367">
          <cell r="A367" t="str">
            <v>BGD</v>
          </cell>
          <cell r="B367" t="str">
            <v>Short</v>
          </cell>
          <cell r="C367" t="str">
            <v>2015 - 2022</v>
          </cell>
          <cell r="D367" t="str">
            <v>avg_1_99</v>
          </cell>
          <cell r="E367" t="str">
            <v>lfls1_S0_a3</v>
          </cell>
          <cell r="F367">
            <v>0.96280765533447266</v>
          </cell>
          <cell r="G367">
            <v>3</v>
          </cell>
        </row>
        <row r="368">
          <cell r="A368" t="str">
            <v>BGD</v>
          </cell>
          <cell r="B368" t="str">
            <v>Short</v>
          </cell>
          <cell r="C368" t="str">
            <v>2015 - 2022</v>
          </cell>
          <cell r="D368" t="str">
            <v>avg_1_99</v>
          </cell>
          <cell r="E368" t="str">
            <v>lfls1_s0_A0</v>
          </cell>
          <cell r="F368">
            <v>0.61345076560974121</v>
          </cell>
          <cell r="G368">
            <v>3</v>
          </cell>
        </row>
        <row r="369">
          <cell r="A369" t="str">
            <v>BGD</v>
          </cell>
          <cell r="B369" t="str">
            <v>Short</v>
          </cell>
          <cell r="C369" t="str">
            <v>2015 - 2022</v>
          </cell>
          <cell r="D369" t="str">
            <v>avg_1_99</v>
          </cell>
          <cell r="E369" t="str">
            <v>lfls1_s0_a1</v>
          </cell>
          <cell r="F369">
            <v>2.7213976383209229</v>
          </cell>
          <cell r="G369">
            <v>3</v>
          </cell>
        </row>
        <row r="370">
          <cell r="A370" t="str">
            <v>BGD</v>
          </cell>
          <cell r="B370" t="str">
            <v>Short</v>
          </cell>
          <cell r="C370" t="str">
            <v>2015 - 2022</v>
          </cell>
          <cell r="D370" t="str">
            <v>avg_1_99</v>
          </cell>
          <cell r="E370" t="str">
            <v>lfls1_s0_a2</v>
          </cell>
          <cell r="F370">
            <v>-6.2154393643140793E-2</v>
          </cell>
          <cell r="G370">
            <v>3</v>
          </cell>
        </row>
        <row r="371">
          <cell r="A371" t="str">
            <v>BGD</v>
          </cell>
          <cell r="B371" t="str">
            <v>Short</v>
          </cell>
          <cell r="C371" t="str">
            <v>2015 - 2022</v>
          </cell>
          <cell r="D371" t="str">
            <v>avg_1_99</v>
          </cell>
          <cell r="E371" t="str">
            <v>lfls1_s0_a3</v>
          </cell>
          <cell r="F371">
            <v>0.92259246110916138</v>
          </cell>
          <cell r="G371">
            <v>3</v>
          </cell>
        </row>
        <row r="372">
          <cell r="A372" t="str">
            <v>BGD</v>
          </cell>
          <cell r="B372" t="str">
            <v>Short</v>
          </cell>
          <cell r="C372" t="str">
            <v>2015 - 2022</v>
          </cell>
          <cell r="D372" t="str">
            <v>avg_1_99</v>
          </cell>
          <cell r="E372" t="str">
            <v>lfls1_s1_A0</v>
          </cell>
          <cell r="F372">
            <v>-0.2665216326713562</v>
          </cell>
          <cell r="G372">
            <v>3</v>
          </cell>
        </row>
        <row r="373">
          <cell r="A373" t="str">
            <v>BGD</v>
          </cell>
          <cell r="B373" t="str">
            <v>Short</v>
          </cell>
          <cell r="C373" t="str">
            <v>2015 - 2022</v>
          </cell>
          <cell r="D373" t="str">
            <v>avg_1_99</v>
          </cell>
          <cell r="E373" t="str">
            <v>lfls1_s1_a1</v>
          </cell>
          <cell r="F373">
            <v>-1.1248633861541748</v>
          </cell>
          <cell r="G373">
            <v>3</v>
          </cell>
        </row>
        <row r="374">
          <cell r="A374" t="str">
            <v>BGD</v>
          </cell>
          <cell r="B374" t="str">
            <v>Short</v>
          </cell>
          <cell r="C374" t="str">
            <v>2015 - 2022</v>
          </cell>
          <cell r="D374" t="str">
            <v>avg_1_99</v>
          </cell>
          <cell r="E374" t="str">
            <v>lfls1_s1_a2</v>
          </cell>
          <cell r="F374">
            <v>0.52166229486465454</v>
          </cell>
          <cell r="G374">
            <v>3</v>
          </cell>
        </row>
        <row r="375">
          <cell r="A375" t="str">
            <v>BGD</v>
          </cell>
          <cell r="B375" t="str">
            <v>Short</v>
          </cell>
          <cell r="C375" t="str">
            <v>2015 - 2022</v>
          </cell>
          <cell r="D375" t="str">
            <v>avg_1_99</v>
          </cell>
          <cell r="E375" t="str">
            <v>lfls1_s1_a3</v>
          </cell>
          <cell r="F375">
            <v>1.1322939395904541</v>
          </cell>
          <cell r="G375">
            <v>3</v>
          </cell>
        </row>
        <row r="376">
          <cell r="A376" t="str">
            <v>BGD</v>
          </cell>
          <cell r="B376" t="str">
            <v>Short</v>
          </cell>
          <cell r="C376" t="str">
            <v>2015 - 2022</v>
          </cell>
          <cell r="D376" t="str">
            <v>avg_1_99</v>
          </cell>
          <cell r="E376" t="str">
            <v>lfprod_s0_a1</v>
          </cell>
          <cell r="F376">
            <v>1.5961661338806152</v>
          </cell>
          <cell r="G376">
            <v>3</v>
          </cell>
        </row>
        <row r="377">
          <cell r="A377" t="str">
            <v>BGD</v>
          </cell>
          <cell r="B377" t="str">
            <v>Short</v>
          </cell>
          <cell r="C377" t="str">
            <v>2015 - 2022</v>
          </cell>
          <cell r="D377" t="str">
            <v>avg_1_99</v>
          </cell>
          <cell r="E377" t="str">
            <v>lfprod_s0_a2</v>
          </cell>
          <cell r="F377">
            <v>-0.75176948308944702</v>
          </cell>
          <cell r="G377">
            <v>3</v>
          </cell>
        </row>
        <row r="378">
          <cell r="A378" t="str">
            <v>BGD</v>
          </cell>
          <cell r="B378" t="str">
            <v>Short</v>
          </cell>
          <cell r="C378" t="str">
            <v>2015 - 2022</v>
          </cell>
          <cell r="D378" t="str">
            <v>avg_1_99</v>
          </cell>
          <cell r="E378" t="str">
            <v>lfprod_s0_a3</v>
          </cell>
          <cell r="F378">
            <v>-6.9267489016056061E-2</v>
          </cell>
          <cell r="G378">
            <v>3</v>
          </cell>
        </row>
        <row r="379">
          <cell r="A379" t="str">
            <v>BGD</v>
          </cell>
          <cell r="B379" t="str">
            <v>Short</v>
          </cell>
          <cell r="C379" t="str">
            <v>2015 - 2022</v>
          </cell>
          <cell r="D379" t="str">
            <v>avg_1_99</v>
          </cell>
          <cell r="E379" t="str">
            <v>lfprod_s1_a1</v>
          </cell>
          <cell r="F379">
            <v>-1.9702798128128052</v>
          </cell>
          <cell r="G379">
            <v>3</v>
          </cell>
        </row>
        <row r="380">
          <cell r="A380" t="str">
            <v>BGD</v>
          </cell>
          <cell r="B380" t="str">
            <v>Short</v>
          </cell>
          <cell r="C380" t="str">
            <v>2015 - 2022</v>
          </cell>
          <cell r="D380" t="str">
            <v>avg_1_99</v>
          </cell>
          <cell r="E380" t="str">
            <v>lfprod_s1_a2</v>
          </cell>
          <cell r="F380">
            <v>-0.41843420267105103</v>
          </cell>
          <cell r="G380">
            <v>3</v>
          </cell>
        </row>
        <row r="381">
          <cell r="A381" t="str">
            <v>BGD</v>
          </cell>
          <cell r="B381" t="str">
            <v>Short</v>
          </cell>
          <cell r="C381" t="str">
            <v>2015 - 2022</v>
          </cell>
          <cell r="D381" t="str">
            <v>avg_1_99</v>
          </cell>
          <cell r="E381" t="str">
            <v>lfprod_s1_a3</v>
          </cell>
          <cell r="F381">
            <v>0.11838209629058838</v>
          </cell>
          <cell r="G381">
            <v>3</v>
          </cell>
        </row>
        <row r="382">
          <cell r="A382" t="str">
            <v>BGD</v>
          </cell>
          <cell r="B382" t="str">
            <v>Short</v>
          </cell>
          <cell r="C382" t="str">
            <v>2015 - 2022</v>
          </cell>
          <cell r="D382" t="str">
            <v>avg_1_99_imp</v>
          </cell>
          <cell r="E382" t="str">
            <v>lfls12_S0_A0</v>
          </cell>
          <cell r="F382">
            <v>0.31307488679885864</v>
          </cell>
          <cell r="G382">
            <v>3</v>
          </cell>
        </row>
        <row r="383">
          <cell r="A383" t="str">
            <v>BGD</v>
          </cell>
          <cell r="B383" t="str">
            <v>Short</v>
          </cell>
          <cell r="C383" t="str">
            <v>2015 - 2022</v>
          </cell>
          <cell r="D383" t="str">
            <v>avg_1_99_imp</v>
          </cell>
          <cell r="E383" t="str">
            <v>lfls1_S0_A0</v>
          </cell>
          <cell r="F383">
            <v>0.32965004444122314</v>
          </cell>
          <cell r="G383">
            <v>3</v>
          </cell>
        </row>
        <row r="384">
          <cell r="A384" t="str">
            <v>BGD</v>
          </cell>
          <cell r="B384" t="str">
            <v>Short</v>
          </cell>
          <cell r="C384" t="str">
            <v>2015 - 2022</v>
          </cell>
          <cell r="D384" t="str">
            <v>avg_1_99_imp</v>
          </cell>
          <cell r="E384" t="str">
            <v>lfls1_S0_a1</v>
          </cell>
          <cell r="F384">
            <v>0.45131835341453552</v>
          </cell>
          <cell r="G384">
            <v>3</v>
          </cell>
        </row>
        <row r="385">
          <cell r="A385" t="str">
            <v>BGD</v>
          </cell>
          <cell r="B385" t="str">
            <v>Short</v>
          </cell>
          <cell r="C385" t="str">
            <v>2015 - 2022</v>
          </cell>
          <cell r="D385" t="str">
            <v>avg_1_99_imp</v>
          </cell>
          <cell r="E385" t="str">
            <v>lfls1_S0_a2</v>
          </cell>
          <cell r="F385">
            <v>6.3779465854167938E-2</v>
          </cell>
          <cell r="G385">
            <v>3</v>
          </cell>
        </row>
        <row r="386">
          <cell r="A386" t="str">
            <v>BGD</v>
          </cell>
          <cell r="B386" t="str">
            <v>Short</v>
          </cell>
          <cell r="C386" t="str">
            <v>2015 - 2022</v>
          </cell>
          <cell r="D386" t="str">
            <v>avg_1_99_imp</v>
          </cell>
          <cell r="E386" t="str">
            <v>lfls1_S0_a3</v>
          </cell>
          <cell r="F386">
            <v>0.96280765533447266</v>
          </cell>
          <cell r="G386">
            <v>3</v>
          </cell>
        </row>
        <row r="387">
          <cell r="A387" t="str">
            <v>BGD</v>
          </cell>
          <cell r="B387" t="str">
            <v>Short</v>
          </cell>
          <cell r="C387" t="str">
            <v>2015 - 2022</v>
          </cell>
          <cell r="D387" t="str">
            <v>avg_1_99_imp</v>
          </cell>
          <cell r="E387" t="str">
            <v>lfls1_s0_A0</v>
          </cell>
          <cell r="F387">
            <v>0.61345076560974121</v>
          </cell>
          <cell r="G387">
            <v>3</v>
          </cell>
        </row>
        <row r="388">
          <cell r="A388" t="str">
            <v>BGD</v>
          </cell>
          <cell r="B388" t="str">
            <v>Short</v>
          </cell>
          <cell r="C388" t="str">
            <v>2015 - 2022</v>
          </cell>
          <cell r="D388" t="str">
            <v>avg_1_99_imp</v>
          </cell>
          <cell r="E388" t="str">
            <v>lfls1_s0_a1</v>
          </cell>
          <cell r="F388">
            <v>2.7213976383209229</v>
          </cell>
          <cell r="G388">
            <v>3</v>
          </cell>
        </row>
        <row r="389">
          <cell r="A389" t="str">
            <v>BGD</v>
          </cell>
          <cell r="B389" t="str">
            <v>Short</v>
          </cell>
          <cell r="C389" t="str">
            <v>2015 - 2022</v>
          </cell>
          <cell r="D389" t="str">
            <v>avg_1_99_imp</v>
          </cell>
          <cell r="E389" t="str">
            <v>lfls1_s0_a2</v>
          </cell>
          <cell r="F389">
            <v>-6.2154393643140793E-2</v>
          </cell>
          <cell r="G389">
            <v>3</v>
          </cell>
        </row>
        <row r="390">
          <cell r="A390" t="str">
            <v>BGD</v>
          </cell>
          <cell r="B390" t="str">
            <v>Short</v>
          </cell>
          <cell r="C390" t="str">
            <v>2015 - 2022</v>
          </cell>
          <cell r="D390" t="str">
            <v>avg_1_99_imp</v>
          </cell>
          <cell r="E390" t="str">
            <v>lfls1_s0_a3</v>
          </cell>
          <cell r="F390">
            <v>0.92259246110916138</v>
          </cell>
          <cell r="G390">
            <v>3</v>
          </cell>
        </row>
        <row r="391">
          <cell r="A391" t="str">
            <v>BGD</v>
          </cell>
          <cell r="B391" t="str">
            <v>Short</v>
          </cell>
          <cell r="C391" t="str">
            <v>2015 - 2022</v>
          </cell>
          <cell r="D391" t="str">
            <v>avg_1_99_imp</v>
          </cell>
          <cell r="E391" t="str">
            <v>lfls1_s1_A0</v>
          </cell>
          <cell r="F391">
            <v>-0.2665216326713562</v>
          </cell>
          <cell r="G391">
            <v>3</v>
          </cell>
        </row>
        <row r="392">
          <cell r="A392" t="str">
            <v>BGD</v>
          </cell>
          <cell r="B392" t="str">
            <v>Short</v>
          </cell>
          <cell r="C392" t="str">
            <v>2015 - 2022</v>
          </cell>
          <cell r="D392" t="str">
            <v>avg_1_99_imp</v>
          </cell>
          <cell r="E392" t="str">
            <v>lfls1_s1_a1</v>
          </cell>
          <cell r="F392">
            <v>-1.1248633861541748</v>
          </cell>
          <cell r="G392">
            <v>3</v>
          </cell>
        </row>
        <row r="393">
          <cell r="A393" t="str">
            <v>BGD</v>
          </cell>
          <cell r="B393" t="str">
            <v>Short</v>
          </cell>
          <cell r="C393" t="str">
            <v>2015 - 2022</v>
          </cell>
          <cell r="D393" t="str">
            <v>avg_1_99_imp</v>
          </cell>
          <cell r="E393" t="str">
            <v>lfls1_s1_a2</v>
          </cell>
          <cell r="F393">
            <v>0.52166229486465454</v>
          </cell>
          <cell r="G393">
            <v>3</v>
          </cell>
        </row>
        <row r="394">
          <cell r="A394" t="str">
            <v>BGD</v>
          </cell>
          <cell r="B394" t="str">
            <v>Short</v>
          </cell>
          <cell r="C394" t="str">
            <v>2015 - 2022</v>
          </cell>
          <cell r="D394" t="str">
            <v>avg_1_99_imp</v>
          </cell>
          <cell r="E394" t="str">
            <v>lfls1_s1_a3</v>
          </cell>
          <cell r="F394">
            <v>1.1322939395904541</v>
          </cell>
          <cell r="G394">
            <v>3</v>
          </cell>
        </row>
        <row r="395">
          <cell r="A395" t="str">
            <v>BGD</v>
          </cell>
          <cell r="B395" t="str">
            <v>Short</v>
          </cell>
          <cell r="C395" t="str">
            <v>2015 - 2022</v>
          </cell>
          <cell r="D395" t="str">
            <v>avg_1_99_imp</v>
          </cell>
          <cell r="E395" t="str">
            <v>lfprod_s0_a1</v>
          </cell>
          <cell r="F395">
            <v>1.5961661338806152</v>
          </cell>
          <cell r="G395">
            <v>3</v>
          </cell>
        </row>
        <row r="396">
          <cell r="A396" t="str">
            <v>BGD</v>
          </cell>
          <cell r="B396" t="str">
            <v>Short</v>
          </cell>
          <cell r="C396" t="str">
            <v>2015 - 2022</v>
          </cell>
          <cell r="D396" t="str">
            <v>avg_1_99_imp</v>
          </cell>
          <cell r="E396" t="str">
            <v>lfprod_s0_a2</v>
          </cell>
          <cell r="F396">
            <v>-0.75176948308944702</v>
          </cell>
          <cell r="G396">
            <v>3</v>
          </cell>
        </row>
        <row r="397">
          <cell r="A397" t="str">
            <v>BGD</v>
          </cell>
          <cell r="B397" t="str">
            <v>Short</v>
          </cell>
          <cell r="C397" t="str">
            <v>2015 - 2022</v>
          </cell>
          <cell r="D397" t="str">
            <v>avg_1_99_imp</v>
          </cell>
          <cell r="E397" t="str">
            <v>lfprod_s0_a3</v>
          </cell>
          <cell r="F397">
            <v>-6.9267489016056061E-2</v>
          </cell>
          <cell r="G397">
            <v>3</v>
          </cell>
        </row>
        <row r="398">
          <cell r="A398" t="str">
            <v>BGD</v>
          </cell>
          <cell r="B398" t="str">
            <v>Short</v>
          </cell>
          <cell r="C398" t="str">
            <v>2015 - 2022</v>
          </cell>
          <cell r="D398" t="str">
            <v>avg_1_99_imp</v>
          </cell>
          <cell r="E398" t="str">
            <v>lfprod_s1_a1</v>
          </cell>
          <cell r="F398">
            <v>-1.9702798128128052</v>
          </cell>
          <cell r="G398">
            <v>3</v>
          </cell>
        </row>
        <row r="399">
          <cell r="A399" t="str">
            <v>BGD</v>
          </cell>
          <cell r="B399" t="str">
            <v>Short</v>
          </cell>
          <cell r="C399" t="str">
            <v>2015 - 2022</v>
          </cell>
          <cell r="D399" t="str">
            <v>avg_1_99_imp</v>
          </cell>
          <cell r="E399" t="str">
            <v>lfprod_s1_a2</v>
          </cell>
          <cell r="F399">
            <v>-0.41843420267105103</v>
          </cell>
          <cell r="G399">
            <v>3</v>
          </cell>
        </row>
        <row r="400">
          <cell r="A400" t="str">
            <v>BGD</v>
          </cell>
          <cell r="B400" t="str">
            <v>Short</v>
          </cell>
          <cell r="C400" t="str">
            <v>2015 - 2022</v>
          </cell>
          <cell r="D400" t="str">
            <v>avg_1_99_imp</v>
          </cell>
          <cell r="E400" t="str">
            <v>lfprod_s1_a3</v>
          </cell>
          <cell r="F400">
            <v>0.11838209629058838</v>
          </cell>
          <cell r="G400">
            <v>3</v>
          </cell>
        </row>
        <row r="401">
          <cell r="A401" t="str">
            <v>BGD</v>
          </cell>
          <cell r="B401" t="str">
            <v>Short</v>
          </cell>
          <cell r="C401" t="str">
            <v>2015 - 2022</v>
          </cell>
          <cell r="D401" t="str">
            <v>med_reg</v>
          </cell>
          <cell r="E401" t="str">
            <v>lfls12_S0_A0</v>
          </cell>
          <cell r="F401">
            <v>0.36854246258735657</v>
          </cell>
          <cell r="G401">
            <v>3</v>
          </cell>
        </row>
        <row r="402">
          <cell r="A402" t="str">
            <v>BGD</v>
          </cell>
          <cell r="B402" t="str">
            <v>Short</v>
          </cell>
          <cell r="C402" t="str">
            <v>2015 - 2022</v>
          </cell>
          <cell r="D402" t="str">
            <v>med_reg</v>
          </cell>
          <cell r="E402" t="str">
            <v>lfls1_S0_A0</v>
          </cell>
          <cell r="F402">
            <v>0.37110373377799988</v>
          </cell>
          <cell r="G402">
            <v>3</v>
          </cell>
        </row>
        <row r="403">
          <cell r="A403" t="str">
            <v>BGD</v>
          </cell>
          <cell r="B403" t="str">
            <v>Short</v>
          </cell>
          <cell r="C403" t="str">
            <v>2015 - 2022</v>
          </cell>
          <cell r="D403" t="str">
            <v>med_reg</v>
          </cell>
          <cell r="E403" t="str">
            <v>lfls1_S0_a1</v>
          </cell>
          <cell r="F403">
            <v>0.83137369155883789</v>
          </cell>
          <cell r="G403">
            <v>3</v>
          </cell>
        </row>
        <row r="404">
          <cell r="A404" t="str">
            <v>BGD</v>
          </cell>
          <cell r="B404" t="str">
            <v>Short</v>
          </cell>
          <cell r="C404" t="str">
            <v>2015 - 2022</v>
          </cell>
          <cell r="D404" t="str">
            <v>med_reg</v>
          </cell>
          <cell r="E404" t="str">
            <v>lfls1_S0_a2</v>
          </cell>
          <cell r="F404">
            <v>-2.5478381663560867E-2</v>
          </cell>
          <cell r="G404">
            <v>3</v>
          </cell>
        </row>
        <row r="405">
          <cell r="A405" t="str">
            <v>BGD</v>
          </cell>
          <cell r="B405" t="str">
            <v>Short</v>
          </cell>
          <cell r="C405" t="str">
            <v>2015 - 2022</v>
          </cell>
          <cell r="D405" t="str">
            <v>med_reg</v>
          </cell>
          <cell r="E405" t="str">
            <v>lfls1_S0_a3</v>
          </cell>
          <cell r="F405">
            <v>0.68911093473434448</v>
          </cell>
          <cell r="G405">
            <v>3</v>
          </cell>
        </row>
        <row r="406">
          <cell r="A406" t="str">
            <v>BGD</v>
          </cell>
          <cell r="B406" t="str">
            <v>Short</v>
          </cell>
          <cell r="C406" t="str">
            <v>2015 - 2022</v>
          </cell>
          <cell r="D406" t="str">
            <v>med_reg</v>
          </cell>
          <cell r="E406" t="str">
            <v>lfls1_s0_A0</v>
          </cell>
          <cell r="F406">
            <v>0.74236458539962769</v>
          </cell>
          <cell r="G406">
            <v>3</v>
          </cell>
        </row>
        <row r="407">
          <cell r="A407" t="str">
            <v>BGD</v>
          </cell>
          <cell r="B407" t="str">
            <v>Short</v>
          </cell>
          <cell r="C407" t="str">
            <v>2015 - 2022</v>
          </cell>
          <cell r="D407" t="str">
            <v>med_reg</v>
          </cell>
          <cell r="E407" t="str">
            <v>lfls1_s0_a1</v>
          </cell>
          <cell r="F407">
            <v>5.5386190414428711</v>
          </cell>
          <cell r="G407">
            <v>3</v>
          </cell>
        </row>
        <row r="408">
          <cell r="A408" t="str">
            <v>BGD</v>
          </cell>
          <cell r="B408" t="str">
            <v>Short</v>
          </cell>
          <cell r="C408" t="str">
            <v>2015 - 2022</v>
          </cell>
          <cell r="D408" t="str">
            <v>med_reg</v>
          </cell>
          <cell r="E408" t="str">
            <v>lfls1_s0_a2</v>
          </cell>
          <cell r="F408">
            <v>-3.5093914717435837E-2</v>
          </cell>
          <cell r="G408">
            <v>3</v>
          </cell>
        </row>
        <row r="409">
          <cell r="A409" t="str">
            <v>BGD</v>
          </cell>
          <cell r="B409" t="str">
            <v>Short</v>
          </cell>
          <cell r="C409" t="str">
            <v>2015 - 2022</v>
          </cell>
          <cell r="D409" t="str">
            <v>med_reg</v>
          </cell>
          <cell r="E409" t="str">
            <v>lfls1_s0_a3</v>
          </cell>
          <cell r="F409">
            <v>0.51408475637435913</v>
          </cell>
          <cell r="G409">
            <v>3</v>
          </cell>
        </row>
        <row r="410">
          <cell r="A410" t="str">
            <v>BGD</v>
          </cell>
          <cell r="B410" t="str">
            <v>Short</v>
          </cell>
          <cell r="C410" t="str">
            <v>2015 - 2022</v>
          </cell>
          <cell r="D410" t="str">
            <v>med_reg</v>
          </cell>
          <cell r="E410" t="str">
            <v>lfls1_s1_A0</v>
          </cell>
          <cell r="F410">
            <v>-0.28888869285583496</v>
          </cell>
          <cell r="G410">
            <v>3</v>
          </cell>
        </row>
        <row r="411">
          <cell r="A411" t="str">
            <v>BGD</v>
          </cell>
          <cell r="B411" t="str">
            <v>Short</v>
          </cell>
          <cell r="C411" t="str">
            <v>2015 - 2022</v>
          </cell>
          <cell r="D411" t="str">
            <v>med_reg</v>
          </cell>
          <cell r="E411" t="str">
            <v>lfls1_s1_a1</v>
          </cell>
          <cell r="F411">
            <v>-1.9553773403167725</v>
          </cell>
          <cell r="G411">
            <v>3</v>
          </cell>
        </row>
        <row r="412">
          <cell r="A412" t="str">
            <v>BGD</v>
          </cell>
          <cell r="B412" t="str">
            <v>Short</v>
          </cell>
          <cell r="C412" t="str">
            <v>2015 - 2022</v>
          </cell>
          <cell r="D412" t="str">
            <v>med_reg</v>
          </cell>
          <cell r="E412" t="str">
            <v>lfls1_s1_a2</v>
          </cell>
          <cell r="F412">
            <v>7.8189089894294739E-2</v>
          </cell>
          <cell r="G412">
            <v>3</v>
          </cell>
        </row>
        <row r="413">
          <cell r="A413" t="str">
            <v>BGD</v>
          </cell>
          <cell r="B413" t="str">
            <v>Short</v>
          </cell>
          <cell r="C413" t="str">
            <v>2015 - 2022</v>
          </cell>
          <cell r="D413" t="str">
            <v>med_reg</v>
          </cell>
          <cell r="E413" t="str">
            <v>lfls1_s1_a3</v>
          </cell>
          <cell r="F413">
            <v>1.3007019758224487</v>
          </cell>
          <cell r="G413">
            <v>3</v>
          </cell>
        </row>
        <row r="414">
          <cell r="A414" t="str">
            <v>BGD</v>
          </cell>
          <cell r="B414" t="str">
            <v>Short</v>
          </cell>
          <cell r="C414" t="str">
            <v>2015 - 2022</v>
          </cell>
          <cell r="D414" t="str">
            <v>med_reg</v>
          </cell>
          <cell r="E414" t="str">
            <v>lfprod_s0_a1</v>
          </cell>
          <cell r="F414">
            <v>4.5386190414428711</v>
          </cell>
          <cell r="G414">
            <v>3</v>
          </cell>
        </row>
        <row r="415">
          <cell r="A415" t="str">
            <v>BGD</v>
          </cell>
          <cell r="B415" t="str">
            <v>Short</v>
          </cell>
          <cell r="C415" t="str">
            <v>2015 - 2022</v>
          </cell>
          <cell r="D415" t="str">
            <v>med_reg</v>
          </cell>
          <cell r="E415" t="str">
            <v>lfprod_s0_a2</v>
          </cell>
          <cell r="F415">
            <v>-1.0350939035415649</v>
          </cell>
          <cell r="G415">
            <v>3</v>
          </cell>
        </row>
        <row r="416">
          <cell r="A416" t="str">
            <v>BGD</v>
          </cell>
          <cell r="B416" t="str">
            <v>Short</v>
          </cell>
          <cell r="C416" t="str">
            <v>2015 - 2022</v>
          </cell>
          <cell r="D416" t="str">
            <v>med_reg</v>
          </cell>
          <cell r="E416" t="str">
            <v>lfprod_s0_a3</v>
          </cell>
          <cell r="F416">
            <v>-0.48591527342796326</v>
          </cell>
          <cell r="G416">
            <v>3</v>
          </cell>
        </row>
        <row r="417">
          <cell r="A417" t="str">
            <v>BGD</v>
          </cell>
          <cell r="B417" t="str">
            <v>Short</v>
          </cell>
          <cell r="C417" t="str">
            <v>2015 - 2022</v>
          </cell>
          <cell r="D417" t="str">
            <v>med_reg</v>
          </cell>
          <cell r="E417" t="str">
            <v>lfprod_s1_a1</v>
          </cell>
          <cell r="F417">
            <v>-2.9553773403167725</v>
          </cell>
          <cell r="G417">
            <v>3</v>
          </cell>
        </row>
        <row r="418">
          <cell r="A418" t="str">
            <v>BGD</v>
          </cell>
          <cell r="B418" t="str">
            <v>Short</v>
          </cell>
          <cell r="C418" t="str">
            <v>2015 - 2022</v>
          </cell>
          <cell r="D418" t="str">
            <v>med_reg</v>
          </cell>
          <cell r="E418" t="str">
            <v>lfprod_s1_a2</v>
          </cell>
          <cell r="F418">
            <v>-0.92181092500686646</v>
          </cell>
          <cell r="G418">
            <v>3</v>
          </cell>
        </row>
        <row r="419">
          <cell r="A419" t="str">
            <v>BGD</v>
          </cell>
          <cell r="B419" t="str">
            <v>Short</v>
          </cell>
          <cell r="C419" t="str">
            <v>2015 - 2022</v>
          </cell>
          <cell r="D419" t="str">
            <v>med_reg</v>
          </cell>
          <cell r="E419" t="str">
            <v>lfprod_s1_a3</v>
          </cell>
          <cell r="F419">
            <v>0.30070197582244873</v>
          </cell>
          <cell r="G419">
            <v>3</v>
          </cell>
        </row>
        <row r="420">
          <cell r="A420" t="str">
            <v>BGD</v>
          </cell>
          <cell r="B420" t="str">
            <v>Short</v>
          </cell>
          <cell r="C420" t="str">
            <v>2015 - 2022</v>
          </cell>
          <cell r="D420" t="str">
            <v>reg</v>
          </cell>
          <cell r="E420" t="str">
            <v>lfls12_S0_A0</v>
          </cell>
          <cell r="F420">
            <v>0.36420696973800659</v>
          </cell>
          <cell r="G420">
            <v>3</v>
          </cell>
        </row>
        <row r="421">
          <cell r="A421" t="str">
            <v>BGD</v>
          </cell>
          <cell r="B421" t="str">
            <v>Short</v>
          </cell>
          <cell r="C421" t="str">
            <v>2015 - 2022</v>
          </cell>
          <cell r="D421" t="str">
            <v>reg</v>
          </cell>
          <cell r="E421" t="str">
            <v>lfls1_S0_A0</v>
          </cell>
          <cell r="F421">
            <v>0.37182855606079102</v>
          </cell>
          <cell r="G421">
            <v>3</v>
          </cell>
        </row>
        <row r="422">
          <cell r="A422" t="str">
            <v>BGD</v>
          </cell>
          <cell r="B422" t="str">
            <v>Short</v>
          </cell>
          <cell r="C422" t="str">
            <v>2015 - 2022</v>
          </cell>
          <cell r="D422" t="str">
            <v>reg</v>
          </cell>
          <cell r="E422" t="str">
            <v>lfls1_S0_a1</v>
          </cell>
          <cell r="F422">
            <v>0.86043602228164673</v>
          </cell>
          <cell r="G422">
            <v>3</v>
          </cell>
        </row>
        <row r="423">
          <cell r="A423" t="str">
            <v>BGD</v>
          </cell>
          <cell r="B423" t="str">
            <v>Short</v>
          </cell>
          <cell r="C423" t="str">
            <v>2015 - 2022</v>
          </cell>
          <cell r="D423" t="str">
            <v>reg</v>
          </cell>
          <cell r="E423" t="str">
            <v>lfls1_S0_a2</v>
          </cell>
          <cell r="F423">
            <v>-4.049542173743248E-2</v>
          </cell>
          <cell r="G423">
            <v>3</v>
          </cell>
        </row>
        <row r="424">
          <cell r="A424" t="str">
            <v>BGD</v>
          </cell>
          <cell r="B424" t="str">
            <v>Short</v>
          </cell>
          <cell r="C424" t="str">
            <v>2015 - 2022</v>
          </cell>
          <cell r="D424" t="str">
            <v>reg</v>
          </cell>
          <cell r="E424" t="str">
            <v>lfls1_S0_a3</v>
          </cell>
          <cell r="F424">
            <v>0.65737348794937134</v>
          </cell>
          <cell r="G424">
            <v>3</v>
          </cell>
        </row>
        <row r="425">
          <cell r="A425" t="str">
            <v>BGD</v>
          </cell>
          <cell r="B425" t="str">
            <v>Short</v>
          </cell>
          <cell r="C425" t="str">
            <v>2015 - 2022</v>
          </cell>
          <cell r="D425" t="str">
            <v>reg</v>
          </cell>
          <cell r="E425" t="str">
            <v>lfls1_s0_A0</v>
          </cell>
          <cell r="F425">
            <v>0.75167709589004517</v>
          </cell>
          <cell r="G425">
            <v>3</v>
          </cell>
        </row>
        <row r="426">
          <cell r="A426" t="str">
            <v>BGD</v>
          </cell>
          <cell r="B426" t="str">
            <v>Short</v>
          </cell>
          <cell r="C426" t="str">
            <v>2015 - 2022</v>
          </cell>
          <cell r="D426" t="str">
            <v>reg</v>
          </cell>
          <cell r="E426" t="str">
            <v>lfls1_s0_a1</v>
          </cell>
          <cell r="F426">
            <v>5.8268165588378906</v>
          </cell>
          <cell r="G426">
            <v>3</v>
          </cell>
        </row>
        <row r="427">
          <cell r="A427" t="str">
            <v>BGD</v>
          </cell>
          <cell r="B427" t="str">
            <v>Short</v>
          </cell>
          <cell r="C427" t="str">
            <v>2015 - 2022</v>
          </cell>
          <cell r="D427" t="str">
            <v>reg</v>
          </cell>
          <cell r="E427" t="str">
            <v>lfls1_s0_a2</v>
          </cell>
          <cell r="F427">
            <v>-4.8435669392347336E-2</v>
          </cell>
          <cell r="G427">
            <v>3</v>
          </cell>
        </row>
        <row r="428">
          <cell r="A428" t="str">
            <v>BGD</v>
          </cell>
          <cell r="B428" t="str">
            <v>Short</v>
          </cell>
          <cell r="C428" t="str">
            <v>2015 - 2022</v>
          </cell>
          <cell r="D428" t="str">
            <v>reg</v>
          </cell>
          <cell r="E428" t="str">
            <v>lfls1_s0_a3</v>
          </cell>
          <cell r="F428">
            <v>0.45656278729438782</v>
          </cell>
          <cell r="G428">
            <v>3</v>
          </cell>
        </row>
        <row r="429">
          <cell r="A429" t="str">
            <v>BGD</v>
          </cell>
          <cell r="B429" t="str">
            <v>Short</v>
          </cell>
          <cell r="C429" t="str">
            <v>2015 - 2022</v>
          </cell>
          <cell r="D429" t="str">
            <v>reg</v>
          </cell>
          <cell r="E429" t="str">
            <v>lfls1_s1_A0</v>
          </cell>
          <cell r="F429">
            <v>-0.30815953016281128</v>
          </cell>
          <cell r="G429">
            <v>3</v>
          </cell>
        </row>
        <row r="430">
          <cell r="A430" t="str">
            <v>BGD</v>
          </cell>
          <cell r="B430" t="str">
            <v>Short</v>
          </cell>
          <cell r="C430" t="str">
            <v>2015 - 2022</v>
          </cell>
          <cell r="D430" t="str">
            <v>reg</v>
          </cell>
          <cell r="E430" t="str">
            <v>lfls1_s1_a1</v>
          </cell>
          <cell r="F430">
            <v>-2.1076726913452148</v>
          </cell>
          <cell r="G430">
            <v>3</v>
          </cell>
        </row>
        <row r="431">
          <cell r="A431" t="str">
            <v>BGD</v>
          </cell>
          <cell r="B431" t="str">
            <v>Short</v>
          </cell>
          <cell r="C431" t="str">
            <v>2015 - 2022</v>
          </cell>
          <cell r="D431" t="str">
            <v>reg</v>
          </cell>
          <cell r="E431" t="str">
            <v>lfls1_s1_a2</v>
          </cell>
          <cell r="F431">
            <v>4.4834267348051071E-2</v>
          </cell>
          <cell r="G431">
            <v>3</v>
          </cell>
        </row>
        <row r="432">
          <cell r="A432" t="str">
            <v>BGD</v>
          </cell>
          <cell r="B432" t="str">
            <v>Short</v>
          </cell>
          <cell r="C432" t="str">
            <v>2015 - 2022</v>
          </cell>
          <cell r="D432" t="str">
            <v>reg</v>
          </cell>
          <cell r="E432" t="str">
            <v>lfls1_s1_a3</v>
          </cell>
          <cell r="F432">
            <v>1.3708035945892334</v>
          </cell>
          <cell r="G432">
            <v>3</v>
          </cell>
        </row>
        <row r="433">
          <cell r="A433" t="str">
            <v>BGD</v>
          </cell>
          <cell r="B433" t="str">
            <v>Short</v>
          </cell>
          <cell r="C433" t="str">
            <v>2015 - 2022</v>
          </cell>
          <cell r="D433" t="str">
            <v>reg</v>
          </cell>
          <cell r="E433" t="str">
            <v>lfprod_s0_a1</v>
          </cell>
          <cell r="F433">
            <v>4.8268165588378906</v>
          </cell>
          <cell r="G433">
            <v>3</v>
          </cell>
        </row>
        <row r="434">
          <cell r="A434" t="str">
            <v>BGD</v>
          </cell>
          <cell r="B434" t="str">
            <v>Short</v>
          </cell>
          <cell r="C434" t="str">
            <v>2015 - 2022</v>
          </cell>
          <cell r="D434" t="str">
            <v>reg</v>
          </cell>
          <cell r="E434" t="str">
            <v>lfprod_s0_a2</v>
          </cell>
          <cell r="F434">
            <v>-1.0484356880187988</v>
          </cell>
          <cell r="G434">
            <v>3</v>
          </cell>
        </row>
        <row r="435">
          <cell r="A435" t="str">
            <v>BGD</v>
          </cell>
          <cell r="B435" t="str">
            <v>Short</v>
          </cell>
          <cell r="C435" t="str">
            <v>2015 - 2022</v>
          </cell>
          <cell r="D435" t="str">
            <v>reg</v>
          </cell>
          <cell r="E435" t="str">
            <v>lfprod_s0_a3</v>
          </cell>
          <cell r="F435">
            <v>-0.54343724250793457</v>
          </cell>
          <cell r="G435">
            <v>3</v>
          </cell>
        </row>
        <row r="436">
          <cell r="A436" t="str">
            <v>BGD</v>
          </cell>
          <cell r="B436" t="str">
            <v>Short</v>
          </cell>
          <cell r="C436" t="str">
            <v>2015 - 2022</v>
          </cell>
          <cell r="D436" t="str">
            <v>reg</v>
          </cell>
          <cell r="E436" t="str">
            <v>lfprod_s1_a1</v>
          </cell>
          <cell r="F436">
            <v>-3.1076726913452148</v>
          </cell>
          <cell r="G436">
            <v>3</v>
          </cell>
        </row>
        <row r="437">
          <cell r="A437" t="str">
            <v>BGD</v>
          </cell>
          <cell r="B437" t="str">
            <v>Short</v>
          </cell>
          <cell r="C437" t="str">
            <v>2015 - 2022</v>
          </cell>
          <cell r="D437" t="str">
            <v>reg</v>
          </cell>
          <cell r="E437" t="str">
            <v>lfprod_s1_a2</v>
          </cell>
          <cell r="F437">
            <v>-0.95516574382781982</v>
          </cell>
          <cell r="G437">
            <v>3</v>
          </cell>
        </row>
        <row r="438">
          <cell r="A438" t="str">
            <v>BGD</v>
          </cell>
          <cell r="B438" t="str">
            <v>Short</v>
          </cell>
          <cell r="C438" t="str">
            <v>2015 - 2022</v>
          </cell>
          <cell r="D438" t="str">
            <v>reg</v>
          </cell>
          <cell r="E438" t="str">
            <v>lfprod_s1_a3</v>
          </cell>
          <cell r="F438">
            <v>0.3708035945892334</v>
          </cell>
          <cell r="G438">
            <v>3</v>
          </cell>
        </row>
        <row r="439">
          <cell r="A439" t="str">
            <v>BGD</v>
          </cell>
          <cell r="B439" t="str">
            <v>Short</v>
          </cell>
          <cell r="C439" t="str">
            <v>2016 - 2022</v>
          </cell>
          <cell r="D439" t="str">
            <v>avg</v>
          </cell>
          <cell r="E439" t="str">
            <v>hsls12_S0_A0</v>
          </cell>
          <cell r="F439">
            <v>0.35838958621025085</v>
          </cell>
          <cell r="G439">
            <v>3</v>
          </cell>
        </row>
        <row r="440">
          <cell r="A440" t="str">
            <v>BGD</v>
          </cell>
          <cell r="B440" t="str">
            <v>Short</v>
          </cell>
          <cell r="C440" t="str">
            <v>2016 - 2022</v>
          </cell>
          <cell r="D440" t="str">
            <v>avg</v>
          </cell>
          <cell r="E440" t="str">
            <v>hsls1_S0_A0</v>
          </cell>
          <cell r="F440">
            <v>0.33362236618995667</v>
          </cell>
          <cell r="G440">
            <v>3</v>
          </cell>
        </row>
        <row r="441">
          <cell r="A441" t="str">
            <v>BGD</v>
          </cell>
          <cell r="B441" t="str">
            <v>Short</v>
          </cell>
          <cell r="C441" t="str">
            <v>2016 - 2022</v>
          </cell>
          <cell r="D441" t="str">
            <v>avg</v>
          </cell>
          <cell r="E441" t="str">
            <v>hsls1_S0_a1</v>
          </cell>
          <cell r="F441">
            <v>0.55237853527069092</v>
          </cell>
          <cell r="G441">
            <v>3</v>
          </cell>
        </row>
        <row r="442">
          <cell r="A442" t="str">
            <v>BGD</v>
          </cell>
          <cell r="B442" t="str">
            <v>Short</v>
          </cell>
          <cell r="C442" t="str">
            <v>2016 - 2022</v>
          </cell>
          <cell r="D442" t="str">
            <v>avg</v>
          </cell>
          <cell r="E442" t="str">
            <v>hsls1_S0_a2</v>
          </cell>
          <cell r="F442">
            <v>0.4157787561416626</v>
          </cell>
          <cell r="G442">
            <v>3</v>
          </cell>
        </row>
        <row r="443">
          <cell r="A443" t="str">
            <v>BGD</v>
          </cell>
          <cell r="B443" t="str">
            <v>Short</v>
          </cell>
          <cell r="C443" t="str">
            <v>2016 - 2022</v>
          </cell>
          <cell r="D443" t="str">
            <v>avg</v>
          </cell>
          <cell r="E443" t="str">
            <v>hsls1_S0_a3</v>
          </cell>
          <cell r="F443">
            <v>0.31719303131103516</v>
          </cell>
          <cell r="G443">
            <v>3</v>
          </cell>
        </row>
        <row r="444">
          <cell r="A444" t="str">
            <v>BGD</v>
          </cell>
          <cell r="B444" t="str">
            <v>Short</v>
          </cell>
          <cell r="C444" t="str">
            <v>2016 - 2022</v>
          </cell>
          <cell r="D444" t="str">
            <v>avg</v>
          </cell>
          <cell r="E444" t="str">
            <v>hsls1_s0_A0</v>
          </cell>
          <cell r="F444">
            <v>1.8806383013725281E-2</v>
          </cell>
          <cell r="G444">
            <v>3</v>
          </cell>
        </row>
        <row r="445">
          <cell r="A445" t="str">
            <v>BGD</v>
          </cell>
          <cell r="B445" t="str">
            <v>Short</v>
          </cell>
          <cell r="C445" t="str">
            <v>2016 - 2022</v>
          </cell>
          <cell r="D445" t="str">
            <v>avg</v>
          </cell>
          <cell r="E445" t="str">
            <v>hsls1_s0_a1</v>
          </cell>
          <cell r="F445">
            <v>1.0052577257156372</v>
          </cell>
          <cell r="G445">
            <v>3</v>
          </cell>
        </row>
        <row r="446">
          <cell r="A446" t="str">
            <v>BGD</v>
          </cell>
          <cell r="B446" t="str">
            <v>Short</v>
          </cell>
          <cell r="C446" t="str">
            <v>2016 - 2022</v>
          </cell>
          <cell r="D446" t="str">
            <v>avg</v>
          </cell>
          <cell r="E446" t="str">
            <v>hsls1_s0_a2</v>
          </cell>
          <cell r="F446">
            <v>6.6100537776947021E-2</v>
          </cell>
          <cell r="G446">
            <v>3</v>
          </cell>
        </row>
        <row r="447">
          <cell r="A447" t="str">
            <v>BGD</v>
          </cell>
          <cell r="B447" t="str">
            <v>Short</v>
          </cell>
          <cell r="C447" t="str">
            <v>2016 - 2022</v>
          </cell>
          <cell r="D447" t="str">
            <v>avg</v>
          </cell>
          <cell r="E447" t="str">
            <v>hsls1_s0_a3</v>
          </cell>
          <cell r="F447">
            <v>-0.11544506996870041</v>
          </cell>
          <cell r="G447">
            <v>3</v>
          </cell>
        </row>
        <row r="448">
          <cell r="A448" t="str">
            <v>BGD</v>
          </cell>
          <cell r="B448" t="str">
            <v>Short</v>
          </cell>
          <cell r="C448" t="str">
            <v>2016 - 2022</v>
          </cell>
          <cell r="D448" t="str">
            <v>avg</v>
          </cell>
          <cell r="E448" t="str">
            <v>hsls1_s1_A0</v>
          </cell>
          <cell r="F448">
            <v>0.71599185466766357</v>
          </cell>
          <cell r="G448">
            <v>3</v>
          </cell>
        </row>
        <row r="449">
          <cell r="A449" t="str">
            <v>BGD</v>
          </cell>
          <cell r="B449" t="str">
            <v>Short</v>
          </cell>
          <cell r="C449" t="str">
            <v>2016 - 2022</v>
          </cell>
          <cell r="D449" t="str">
            <v>avg</v>
          </cell>
          <cell r="E449" t="str">
            <v>hsls1_s1_a1</v>
          </cell>
          <cell r="F449">
            <v>0.48470062017440796</v>
          </cell>
          <cell r="G449">
            <v>3</v>
          </cell>
        </row>
        <row r="450">
          <cell r="A450" t="str">
            <v>BGD</v>
          </cell>
          <cell r="B450" t="str">
            <v>Short</v>
          </cell>
          <cell r="C450" t="str">
            <v>2016 - 2022</v>
          </cell>
          <cell r="D450" t="str">
            <v>avg</v>
          </cell>
          <cell r="E450" t="str">
            <v>hsls1_s1_a2</v>
          </cell>
          <cell r="F450">
            <v>1.5607167482376099</v>
          </cell>
          <cell r="G450">
            <v>3</v>
          </cell>
        </row>
        <row r="451">
          <cell r="A451" t="str">
            <v>BGD</v>
          </cell>
          <cell r="B451" t="str">
            <v>Short</v>
          </cell>
          <cell r="C451" t="str">
            <v>2016 - 2022</v>
          </cell>
          <cell r="D451" t="str">
            <v>avg</v>
          </cell>
          <cell r="E451" t="str">
            <v>hsls1_s1_a3</v>
          </cell>
          <cell r="F451">
            <v>1.2054864168167114</v>
          </cell>
          <cell r="G451">
            <v>3</v>
          </cell>
        </row>
        <row r="452">
          <cell r="A452" t="str">
            <v>BGD</v>
          </cell>
          <cell r="B452" t="str">
            <v>Short</v>
          </cell>
          <cell r="C452" t="str">
            <v>2016 - 2022</v>
          </cell>
          <cell r="D452" t="str">
            <v>avg</v>
          </cell>
          <cell r="E452" t="str">
            <v>hsprod_s0_a1</v>
          </cell>
          <cell r="F452">
            <v>4.3333717621862888E-3</v>
          </cell>
          <cell r="G452">
            <v>3</v>
          </cell>
        </row>
        <row r="453">
          <cell r="A453" t="str">
            <v>BGD</v>
          </cell>
          <cell r="B453" t="str">
            <v>Short</v>
          </cell>
          <cell r="C453" t="str">
            <v>2016 - 2022</v>
          </cell>
          <cell r="D453" t="str">
            <v>avg</v>
          </cell>
          <cell r="E453" t="str">
            <v>hsprod_s0_a2</v>
          </cell>
          <cell r="F453">
            <v>-0.55856132507324219</v>
          </cell>
          <cell r="G453">
            <v>3</v>
          </cell>
        </row>
        <row r="454">
          <cell r="A454" t="str">
            <v>BGD</v>
          </cell>
          <cell r="B454" t="str">
            <v>Short</v>
          </cell>
          <cell r="C454" t="str">
            <v>2016 - 2022</v>
          </cell>
          <cell r="D454" t="str">
            <v>avg</v>
          </cell>
          <cell r="E454" t="str">
            <v>hsprod_s0_a3</v>
          </cell>
          <cell r="F454">
            <v>-0.78854858875274658</v>
          </cell>
          <cell r="G454">
            <v>3</v>
          </cell>
        </row>
        <row r="455">
          <cell r="A455" t="str">
            <v>BGD</v>
          </cell>
          <cell r="B455" t="str">
            <v>Short</v>
          </cell>
          <cell r="C455" t="str">
            <v>2016 - 2022</v>
          </cell>
          <cell r="D455" t="str">
            <v>avg</v>
          </cell>
          <cell r="E455" t="str">
            <v>hsprod_s1_a1</v>
          </cell>
          <cell r="F455">
            <v>-0.42470669746398926</v>
          </cell>
          <cell r="G455">
            <v>3</v>
          </cell>
        </row>
        <row r="456">
          <cell r="A456" t="str">
            <v>BGD</v>
          </cell>
          <cell r="B456" t="str">
            <v>Short</v>
          </cell>
          <cell r="C456" t="str">
            <v>2016 - 2022</v>
          </cell>
          <cell r="D456" t="str">
            <v>avg</v>
          </cell>
          <cell r="E456" t="str">
            <v>hsprod_s1_a2</v>
          </cell>
          <cell r="F456">
            <v>0.33536225557327271</v>
          </cell>
          <cell r="G456">
            <v>3</v>
          </cell>
        </row>
        <row r="457">
          <cell r="A457" t="str">
            <v>BGD</v>
          </cell>
          <cell r="B457" t="str">
            <v>Short</v>
          </cell>
          <cell r="C457" t="str">
            <v>2016 - 2022</v>
          </cell>
          <cell r="D457" t="str">
            <v>avg</v>
          </cell>
          <cell r="E457" t="str">
            <v>hsprod_s1_a3</v>
          </cell>
          <cell r="F457">
            <v>0.14526587724685669</v>
          </cell>
          <cell r="G457">
            <v>3</v>
          </cell>
        </row>
        <row r="458">
          <cell r="A458" t="str">
            <v>BGD</v>
          </cell>
          <cell r="B458" t="str">
            <v>Short</v>
          </cell>
          <cell r="C458" t="str">
            <v>2016 - 2022</v>
          </cell>
          <cell r="D458" t="str">
            <v>avg_1_99_imp</v>
          </cell>
          <cell r="E458" t="str">
            <v>hsls12_S0_A0</v>
          </cell>
          <cell r="F458">
            <v>0.35838958621025085</v>
          </cell>
          <cell r="G458">
            <v>3</v>
          </cell>
        </row>
        <row r="459">
          <cell r="A459" t="str">
            <v>BGD</v>
          </cell>
          <cell r="B459" t="str">
            <v>Short</v>
          </cell>
          <cell r="C459" t="str">
            <v>2016 - 2022</v>
          </cell>
          <cell r="D459" t="str">
            <v>avg_1_99_imp</v>
          </cell>
          <cell r="E459" t="str">
            <v>hsls1_S0_A0</v>
          </cell>
          <cell r="F459">
            <v>0.33362236618995667</v>
          </cell>
          <cell r="G459">
            <v>3</v>
          </cell>
        </row>
        <row r="460">
          <cell r="A460" t="str">
            <v>BGD</v>
          </cell>
          <cell r="B460" t="str">
            <v>Short</v>
          </cell>
          <cell r="C460" t="str">
            <v>2016 - 2022</v>
          </cell>
          <cell r="D460" t="str">
            <v>avg_1_99_imp</v>
          </cell>
          <cell r="E460" t="str">
            <v>hsls1_S0_a1</v>
          </cell>
          <cell r="F460">
            <v>0.55237853527069092</v>
          </cell>
          <cell r="G460">
            <v>3</v>
          </cell>
        </row>
        <row r="461">
          <cell r="A461" t="str">
            <v>BGD</v>
          </cell>
          <cell r="B461" t="str">
            <v>Short</v>
          </cell>
          <cell r="C461" t="str">
            <v>2016 - 2022</v>
          </cell>
          <cell r="D461" t="str">
            <v>avg_1_99_imp</v>
          </cell>
          <cell r="E461" t="str">
            <v>hsls1_S0_a2</v>
          </cell>
          <cell r="F461">
            <v>0.4157787561416626</v>
          </cell>
          <cell r="G461">
            <v>3</v>
          </cell>
        </row>
        <row r="462">
          <cell r="A462" t="str">
            <v>BGD</v>
          </cell>
          <cell r="B462" t="str">
            <v>Short</v>
          </cell>
          <cell r="C462" t="str">
            <v>2016 - 2022</v>
          </cell>
          <cell r="D462" t="str">
            <v>avg_1_99_imp</v>
          </cell>
          <cell r="E462" t="str">
            <v>hsls1_S0_a3</v>
          </cell>
          <cell r="F462">
            <v>0.31719303131103516</v>
          </cell>
          <cell r="G462">
            <v>3</v>
          </cell>
        </row>
        <row r="463">
          <cell r="A463" t="str">
            <v>BGD</v>
          </cell>
          <cell r="B463" t="str">
            <v>Short</v>
          </cell>
          <cell r="C463" t="str">
            <v>2016 - 2022</v>
          </cell>
          <cell r="D463" t="str">
            <v>avg_1_99_imp</v>
          </cell>
          <cell r="E463" t="str">
            <v>hsls1_s0_A0</v>
          </cell>
          <cell r="F463">
            <v>1.8806383013725281E-2</v>
          </cell>
          <cell r="G463">
            <v>3</v>
          </cell>
        </row>
        <row r="464">
          <cell r="A464" t="str">
            <v>BGD</v>
          </cell>
          <cell r="B464" t="str">
            <v>Short</v>
          </cell>
          <cell r="C464" t="str">
            <v>2016 - 2022</v>
          </cell>
          <cell r="D464" t="str">
            <v>avg_1_99_imp</v>
          </cell>
          <cell r="E464" t="str">
            <v>hsls1_s0_a1</v>
          </cell>
          <cell r="F464">
            <v>1.0052577257156372</v>
          </cell>
          <cell r="G464">
            <v>3</v>
          </cell>
        </row>
        <row r="465">
          <cell r="A465" t="str">
            <v>BGD</v>
          </cell>
          <cell r="B465" t="str">
            <v>Short</v>
          </cell>
          <cell r="C465" t="str">
            <v>2016 - 2022</v>
          </cell>
          <cell r="D465" t="str">
            <v>avg_1_99_imp</v>
          </cell>
          <cell r="E465" t="str">
            <v>hsls1_s0_a2</v>
          </cell>
          <cell r="F465">
            <v>6.6100537776947021E-2</v>
          </cell>
          <cell r="G465">
            <v>3</v>
          </cell>
        </row>
        <row r="466">
          <cell r="A466" t="str">
            <v>BGD</v>
          </cell>
          <cell r="B466" t="str">
            <v>Short</v>
          </cell>
          <cell r="C466" t="str">
            <v>2016 - 2022</v>
          </cell>
          <cell r="D466" t="str">
            <v>avg_1_99_imp</v>
          </cell>
          <cell r="E466" t="str">
            <v>hsls1_s0_a3</v>
          </cell>
          <cell r="F466">
            <v>-0.11544506996870041</v>
          </cell>
          <cell r="G466">
            <v>3</v>
          </cell>
        </row>
        <row r="467">
          <cell r="A467" t="str">
            <v>BGD</v>
          </cell>
          <cell r="B467" t="str">
            <v>Short</v>
          </cell>
          <cell r="C467" t="str">
            <v>2016 - 2022</v>
          </cell>
          <cell r="D467" t="str">
            <v>avg_1_99_imp</v>
          </cell>
          <cell r="E467" t="str">
            <v>hsls1_s1_A0</v>
          </cell>
          <cell r="F467">
            <v>0.71599185466766357</v>
          </cell>
          <cell r="G467">
            <v>3</v>
          </cell>
        </row>
        <row r="468">
          <cell r="A468" t="str">
            <v>BGD</v>
          </cell>
          <cell r="B468" t="str">
            <v>Short</v>
          </cell>
          <cell r="C468" t="str">
            <v>2016 - 2022</v>
          </cell>
          <cell r="D468" t="str">
            <v>avg_1_99_imp</v>
          </cell>
          <cell r="E468" t="str">
            <v>hsls1_s1_a1</v>
          </cell>
          <cell r="F468">
            <v>0.48470062017440796</v>
          </cell>
          <cell r="G468">
            <v>3</v>
          </cell>
        </row>
        <row r="469">
          <cell r="A469" t="str">
            <v>BGD</v>
          </cell>
          <cell r="B469" t="str">
            <v>Short</v>
          </cell>
          <cell r="C469" t="str">
            <v>2016 - 2022</v>
          </cell>
          <cell r="D469" t="str">
            <v>avg_1_99_imp</v>
          </cell>
          <cell r="E469" t="str">
            <v>hsls1_s1_a2</v>
          </cell>
          <cell r="F469">
            <v>1.5607167482376099</v>
          </cell>
          <cell r="G469">
            <v>3</v>
          </cell>
        </row>
        <row r="470">
          <cell r="A470" t="str">
            <v>BGD</v>
          </cell>
          <cell r="B470" t="str">
            <v>Short</v>
          </cell>
          <cell r="C470" t="str">
            <v>2016 - 2022</v>
          </cell>
          <cell r="D470" t="str">
            <v>avg_1_99_imp</v>
          </cell>
          <cell r="E470" t="str">
            <v>hsls1_s1_a3</v>
          </cell>
          <cell r="F470">
            <v>1.2054864168167114</v>
          </cell>
          <cell r="G470">
            <v>3</v>
          </cell>
        </row>
        <row r="471">
          <cell r="A471" t="str">
            <v>BGD</v>
          </cell>
          <cell r="B471" t="str">
            <v>Short</v>
          </cell>
          <cell r="C471" t="str">
            <v>2016 - 2022</v>
          </cell>
          <cell r="D471" t="str">
            <v>avg_1_99_imp</v>
          </cell>
          <cell r="E471" t="str">
            <v>hsprod_s0_a1</v>
          </cell>
          <cell r="F471">
            <v>4.3333717621862888E-3</v>
          </cell>
          <cell r="G471">
            <v>3</v>
          </cell>
        </row>
        <row r="472">
          <cell r="A472" t="str">
            <v>BGD</v>
          </cell>
          <cell r="B472" t="str">
            <v>Short</v>
          </cell>
          <cell r="C472" t="str">
            <v>2016 - 2022</v>
          </cell>
          <cell r="D472" t="str">
            <v>avg_1_99_imp</v>
          </cell>
          <cell r="E472" t="str">
            <v>hsprod_s0_a2</v>
          </cell>
          <cell r="F472">
            <v>-0.55856132507324219</v>
          </cell>
          <cell r="G472">
            <v>3</v>
          </cell>
        </row>
        <row r="473">
          <cell r="A473" t="str">
            <v>BGD</v>
          </cell>
          <cell r="B473" t="str">
            <v>Short</v>
          </cell>
          <cell r="C473" t="str">
            <v>2016 - 2022</v>
          </cell>
          <cell r="D473" t="str">
            <v>avg_1_99_imp</v>
          </cell>
          <cell r="E473" t="str">
            <v>hsprod_s0_a3</v>
          </cell>
          <cell r="F473">
            <v>-0.78854858875274658</v>
          </cell>
          <cell r="G473">
            <v>3</v>
          </cell>
        </row>
        <row r="474">
          <cell r="A474" t="str">
            <v>BGD</v>
          </cell>
          <cell r="B474" t="str">
            <v>Short</v>
          </cell>
          <cell r="C474" t="str">
            <v>2016 - 2022</v>
          </cell>
          <cell r="D474" t="str">
            <v>avg_1_99_imp</v>
          </cell>
          <cell r="E474" t="str">
            <v>hsprod_s1_a1</v>
          </cell>
          <cell r="F474">
            <v>-0.42470669746398926</v>
          </cell>
          <cell r="G474">
            <v>3</v>
          </cell>
        </row>
        <row r="475">
          <cell r="A475" t="str">
            <v>BGD</v>
          </cell>
          <cell r="B475" t="str">
            <v>Short</v>
          </cell>
          <cell r="C475" t="str">
            <v>2016 - 2022</v>
          </cell>
          <cell r="D475" t="str">
            <v>avg_1_99_imp</v>
          </cell>
          <cell r="E475" t="str">
            <v>hsprod_s1_a2</v>
          </cell>
          <cell r="F475">
            <v>0.33536225557327271</v>
          </cell>
          <cell r="G475">
            <v>3</v>
          </cell>
        </row>
        <row r="476">
          <cell r="A476" t="str">
            <v>BGD</v>
          </cell>
          <cell r="B476" t="str">
            <v>Short</v>
          </cell>
          <cell r="C476" t="str">
            <v>2016 - 2022</v>
          </cell>
          <cell r="D476" t="str">
            <v>avg_1_99_imp</v>
          </cell>
          <cell r="E476" t="str">
            <v>hsprod_s1_a3</v>
          </cell>
          <cell r="F476">
            <v>0.14526587724685669</v>
          </cell>
          <cell r="G476">
            <v>3</v>
          </cell>
        </row>
        <row r="477">
          <cell r="A477" t="str">
            <v>BGD</v>
          </cell>
          <cell r="B477" t="str">
            <v>Short</v>
          </cell>
          <cell r="C477" t="str">
            <v>2016 - 2022</v>
          </cell>
          <cell r="D477" t="str">
            <v>reg</v>
          </cell>
          <cell r="E477" t="str">
            <v>hsls12_S0_A0</v>
          </cell>
          <cell r="F477">
            <v>0.4034169614315033</v>
          </cell>
          <cell r="G477">
            <v>3</v>
          </cell>
        </row>
        <row r="478">
          <cell r="A478" t="str">
            <v>BGD</v>
          </cell>
          <cell r="B478" t="str">
            <v>Short</v>
          </cell>
          <cell r="C478" t="str">
            <v>2016 - 2022</v>
          </cell>
          <cell r="D478" t="str">
            <v>reg</v>
          </cell>
          <cell r="E478" t="str">
            <v>hsls1_S0_A0</v>
          </cell>
          <cell r="F478">
            <v>0.37744155526161194</v>
          </cell>
          <cell r="G478">
            <v>3</v>
          </cell>
        </row>
        <row r="479">
          <cell r="A479" t="str">
            <v>BGD</v>
          </cell>
          <cell r="B479" t="str">
            <v>Short</v>
          </cell>
          <cell r="C479" t="str">
            <v>2016 - 2022</v>
          </cell>
          <cell r="D479" t="str">
            <v>reg</v>
          </cell>
          <cell r="E479" t="str">
            <v>hsls1_S0_a1</v>
          </cell>
          <cell r="F479">
            <v>0.57608526945114136</v>
          </cell>
          <cell r="G479">
            <v>3</v>
          </cell>
        </row>
        <row r="480">
          <cell r="A480" t="str">
            <v>BGD</v>
          </cell>
          <cell r="B480" t="str">
            <v>Short</v>
          </cell>
          <cell r="C480" t="str">
            <v>2016 - 2022</v>
          </cell>
          <cell r="D480" t="str">
            <v>reg</v>
          </cell>
          <cell r="E480" t="str">
            <v>hsls1_S0_a2</v>
          </cell>
          <cell r="F480">
            <v>0.47934424877166748</v>
          </cell>
          <cell r="G480">
            <v>3</v>
          </cell>
        </row>
        <row r="481">
          <cell r="A481" t="str">
            <v>BGD</v>
          </cell>
          <cell r="B481" t="str">
            <v>Short</v>
          </cell>
          <cell r="C481" t="str">
            <v>2016 - 2022</v>
          </cell>
          <cell r="D481" t="str">
            <v>reg</v>
          </cell>
          <cell r="E481" t="str">
            <v>hsls1_S0_a3</v>
          </cell>
          <cell r="F481">
            <v>0.35620963573455811</v>
          </cell>
          <cell r="G481">
            <v>3</v>
          </cell>
        </row>
        <row r="482">
          <cell r="A482" t="str">
            <v>BGD</v>
          </cell>
          <cell r="B482" t="str">
            <v>Short</v>
          </cell>
          <cell r="C482" t="str">
            <v>2016 - 2022</v>
          </cell>
          <cell r="D482" t="str">
            <v>reg</v>
          </cell>
          <cell r="E482" t="str">
            <v>hsls1_s0_A0</v>
          </cell>
          <cell r="F482">
            <v>2.2778671234846115E-2</v>
          </cell>
          <cell r="G482">
            <v>3</v>
          </cell>
        </row>
        <row r="483">
          <cell r="A483" t="str">
            <v>BGD</v>
          </cell>
          <cell r="B483" t="str">
            <v>Short</v>
          </cell>
          <cell r="C483" t="str">
            <v>2016 - 2022</v>
          </cell>
          <cell r="D483" t="str">
            <v>reg</v>
          </cell>
          <cell r="E483" t="str">
            <v>hsls1_s0_a1</v>
          </cell>
          <cell r="F483">
            <v>1.0047785043716431</v>
          </cell>
          <cell r="G483">
            <v>3</v>
          </cell>
        </row>
        <row r="484">
          <cell r="A484" t="str">
            <v>BGD</v>
          </cell>
          <cell r="B484" t="str">
            <v>Short</v>
          </cell>
          <cell r="C484" t="str">
            <v>2016 - 2022</v>
          </cell>
          <cell r="D484" t="str">
            <v>reg</v>
          </cell>
          <cell r="E484" t="str">
            <v>hsls1_s0_a2</v>
          </cell>
          <cell r="F484">
            <v>8.455098420381546E-2</v>
          </cell>
          <cell r="G484">
            <v>3</v>
          </cell>
        </row>
        <row r="485">
          <cell r="A485" t="str">
            <v>BGD</v>
          </cell>
          <cell r="B485" t="str">
            <v>Short</v>
          </cell>
          <cell r="C485" t="str">
            <v>2016 - 2022</v>
          </cell>
          <cell r="D485" t="str">
            <v>reg</v>
          </cell>
          <cell r="E485" t="str">
            <v>hsls1_s0_a3</v>
          </cell>
          <cell r="F485">
            <v>-0.14140516519546509</v>
          </cell>
          <cell r="G485">
            <v>3</v>
          </cell>
        </row>
        <row r="486">
          <cell r="A486" t="str">
            <v>BGD</v>
          </cell>
          <cell r="B486" t="str">
            <v>Short</v>
          </cell>
          <cell r="C486" t="str">
            <v>2016 - 2022</v>
          </cell>
          <cell r="D486" t="str">
            <v>reg</v>
          </cell>
          <cell r="E486" t="str">
            <v>hsls1_s1_A0</v>
          </cell>
          <cell r="F486">
            <v>0.75242435932159424</v>
          </cell>
          <cell r="G486">
            <v>3</v>
          </cell>
        </row>
        <row r="487">
          <cell r="A487" t="str">
            <v>BGD</v>
          </cell>
          <cell r="B487" t="str">
            <v>Short</v>
          </cell>
          <cell r="C487" t="str">
            <v>2016 - 2022</v>
          </cell>
          <cell r="D487" t="str">
            <v>reg</v>
          </cell>
          <cell r="E487" t="str">
            <v>hsls1_s1_a1</v>
          </cell>
          <cell r="F487">
            <v>0.50885671377182007</v>
          </cell>
          <cell r="G487">
            <v>3</v>
          </cell>
        </row>
        <row r="488">
          <cell r="A488" t="str">
            <v>BGD</v>
          </cell>
          <cell r="B488" t="str">
            <v>Short</v>
          </cell>
          <cell r="C488" t="str">
            <v>2016 - 2022</v>
          </cell>
          <cell r="D488" t="str">
            <v>reg</v>
          </cell>
          <cell r="E488" t="str">
            <v>hsls1_s1_a2</v>
          </cell>
          <cell r="F488">
            <v>1.3953858613967896</v>
          </cell>
          <cell r="G488">
            <v>3</v>
          </cell>
        </row>
        <row r="489">
          <cell r="A489" t="str">
            <v>BGD</v>
          </cell>
          <cell r="B489" t="str">
            <v>Short</v>
          </cell>
          <cell r="C489" t="str">
            <v>2016 - 2022</v>
          </cell>
          <cell r="D489" t="str">
            <v>reg</v>
          </cell>
          <cell r="E489" t="str">
            <v>hsls1_s1_a3</v>
          </cell>
          <cell r="F489">
            <v>1.1686117649078369</v>
          </cell>
          <cell r="G489">
            <v>3</v>
          </cell>
        </row>
        <row r="490">
          <cell r="A490" t="str">
            <v>BGD</v>
          </cell>
          <cell r="B490" t="str">
            <v>Short</v>
          </cell>
          <cell r="C490" t="str">
            <v>2016 - 2022</v>
          </cell>
          <cell r="D490" t="str">
            <v>reg</v>
          </cell>
          <cell r="E490" t="str">
            <v>hsprod_s0_a1</v>
          </cell>
          <cell r="F490">
            <v>4.7784475609660149E-3</v>
          </cell>
          <cell r="G490">
            <v>3</v>
          </cell>
        </row>
        <row r="491">
          <cell r="A491" t="str">
            <v>BGD</v>
          </cell>
          <cell r="B491" t="str">
            <v>Short</v>
          </cell>
          <cell r="C491" t="str">
            <v>2016 - 2022</v>
          </cell>
          <cell r="D491" t="str">
            <v>reg</v>
          </cell>
          <cell r="E491" t="str">
            <v>hsprod_s0_a2</v>
          </cell>
          <cell r="F491">
            <v>-0.91544902324676514</v>
          </cell>
          <cell r="G491">
            <v>3</v>
          </cell>
        </row>
        <row r="492">
          <cell r="A492" t="str">
            <v>BGD</v>
          </cell>
          <cell r="B492" t="str">
            <v>Short</v>
          </cell>
          <cell r="C492" t="str">
            <v>2016 - 2022</v>
          </cell>
          <cell r="D492" t="str">
            <v>reg</v>
          </cell>
          <cell r="E492" t="str">
            <v>hsprod_s0_a3</v>
          </cell>
          <cell r="F492">
            <v>-1.1414052248001099</v>
          </cell>
          <cell r="G492">
            <v>3</v>
          </cell>
        </row>
        <row r="493">
          <cell r="A493" t="str">
            <v>BGD</v>
          </cell>
          <cell r="B493" t="str">
            <v>Short</v>
          </cell>
          <cell r="C493" t="str">
            <v>2016 - 2022</v>
          </cell>
          <cell r="D493" t="str">
            <v>reg</v>
          </cell>
          <cell r="E493" t="str">
            <v>hsprod_s1_a1</v>
          </cell>
          <cell r="F493">
            <v>-0.49114328622817993</v>
          </cell>
          <cell r="G493">
            <v>3</v>
          </cell>
        </row>
        <row r="494">
          <cell r="A494" t="str">
            <v>BGD</v>
          </cell>
          <cell r="B494" t="str">
            <v>Short</v>
          </cell>
          <cell r="C494" t="str">
            <v>2016 - 2022</v>
          </cell>
          <cell r="D494" t="str">
            <v>reg</v>
          </cell>
          <cell r="E494" t="str">
            <v>hsprod_s1_a2</v>
          </cell>
          <cell r="F494">
            <v>0.39538592100143433</v>
          </cell>
          <cell r="G494">
            <v>3</v>
          </cell>
        </row>
        <row r="495">
          <cell r="A495" t="str">
            <v>BGD</v>
          </cell>
          <cell r="B495" t="str">
            <v>Short</v>
          </cell>
          <cell r="C495" t="str">
            <v>2016 - 2022</v>
          </cell>
          <cell r="D495" t="str">
            <v>reg</v>
          </cell>
          <cell r="E495" t="str">
            <v>hsprod_s1_a3</v>
          </cell>
          <cell r="F495">
            <v>0.16861175000667572</v>
          </cell>
          <cell r="G495">
            <v>3</v>
          </cell>
        </row>
        <row r="496">
          <cell r="A496" t="str">
            <v>BGD</v>
          </cell>
          <cell r="B496" t="str">
            <v>Long</v>
          </cell>
          <cell r="C496" t="str">
            <v>2005 - 2022</v>
          </cell>
          <cell r="D496" t="str">
            <v>avg</v>
          </cell>
          <cell r="E496" t="str">
            <v>lfls12_S0_A0</v>
          </cell>
          <cell r="F496">
            <v>0.34328985214233398</v>
          </cell>
          <cell r="G496">
            <v>6</v>
          </cell>
        </row>
        <row r="497">
          <cell r="A497" t="str">
            <v>BGD</v>
          </cell>
          <cell r="B497" t="str">
            <v>Long</v>
          </cell>
          <cell r="C497" t="str">
            <v>2005 - 2022</v>
          </cell>
          <cell r="D497" t="str">
            <v>avg</v>
          </cell>
          <cell r="E497" t="str">
            <v>lfls1_S0_A0</v>
          </cell>
          <cell r="F497">
            <v>0.33396664261817932</v>
          </cell>
          <cell r="G497">
            <v>6</v>
          </cell>
        </row>
        <row r="498">
          <cell r="A498" t="str">
            <v>BGD</v>
          </cell>
          <cell r="B498" t="str">
            <v>Long</v>
          </cell>
          <cell r="C498" t="str">
            <v>2005 - 2022</v>
          </cell>
          <cell r="D498" t="str">
            <v>avg</v>
          </cell>
          <cell r="E498" t="str">
            <v>lfls1_S0_a1</v>
          </cell>
          <cell r="F498">
            <v>0.30467352271080017</v>
          </cell>
          <cell r="G498">
            <v>6</v>
          </cell>
        </row>
        <row r="499">
          <cell r="A499" t="str">
            <v>BGD</v>
          </cell>
          <cell r="B499" t="str">
            <v>Long</v>
          </cell>
          <cell r="C499" t="str">
            <v>2005 - 2022</v>
          </cell>
          <cell r="D499" t="str">
            <v>avg</v>
          </cell>
          <cell r="E499" t="str">
            <v>lfls1_S0_a2</v>
          </cell>
          <cell r="F499">
            <v>0.90648150444030762</v>
          </cell>
          <cell r="G499">
            <v>6</v>
          </cell>
        </row>
        <row r="500">
          <cell r="A500" t="str">
            <v>BGD</v>
          </cell>
          <cell r="B500" t="str">
            <v>Long</v>
          </cell>
          <cell r="C500" t="str">
            <v>2005 - 2022</v>
          </cell>
          <cell r="D500" t="str">
            <v>avg</v>
          </cell>
          <cell r="E500" t="str">
            <v>lfls1_S0_a3</v>
          </cell>
          <cell r="F500">
            <v>0.27544772624969482</v>
          </cell>
          <cell r="G500">
            <v>6</v>
          </cell>
        </row>
        <row r="501">
          <cell r="A501" t="str">
            <v>BGD</v>
          </cell>
          <cell r="B501" t="str">
            <v>Long</v>
          </cell>
          <cell r="C501" t="str">
            <v>2005 - 2022</v>
          </cell>
          <cell r="D501" t="str">
            <v>avg</v>
          </cell>
          <cell r="E501" t="str">
            <v>lfls1_S0_a4</v>
          </cell>
          <cell r="F501">
            <v>0.21466565132141113</v>
          </cell>
          <cell r="G501">
            <v>6</v>
          </cell>
        </row>
        <row r="502">
          <cell r="A502" t="str">
            <v>BGD</v>
          </cell>
          <cell r="B502" t="str">
            <v>Long</v>
          </cell>
          <cell r="C502" t="str">
            <v>2005 - 2022</v>
          </cell>
          <cell r="D502" t="str">
            <v>avg</v>
          </cell>
          <cell r="E502" t="str">
            <v>lfls1_S0_a5</v>
          </cell>
          <cell r="F502">
            <v>0.35478994250297546</v>
          </cell>
          <cell r="G502">
            <v>6</v>
          </cell>
        </row>
        <row r="503">
          <cell r="A503" t="str">
            <v>BGD</v>
          </cell>
          <cell r="B503" t="str">
            <v>Long</v>
          </cell>
          <cell r="C503" t="str">
            <v>2005 - 2022</v>
          </cell>
          <cell r="D503" t="str">
            <v>avg</v>
          </cell>
          <cell r="E503" t="str">
            <v>lfls1_S0_a6</v>
          </cell>
          <cell r="F503">
            <v>0.53362047672271729</v>
          </cell>
          <cell r="G503">
            <v>6</v>
          </cell>
        </row>
        <row r="504">
          <cell r="A504" t="str">
            <v>BGD</v>
          </cell>
          <cell r="B504" t="str">
            <v>Long</v>
          </cell>
          <cell r="C504" t="str">
            <v>2005 - 2022</v>
          </cell>
          <cell r="D504" t="str">
            <v>avg</v>
          </cell>
          <cell r="E504" t="str">
            <v>lfls1_s0_A0</v>
          </cell>
          <cell r="F504">
            <v>0.42584556341171265</v>
          </cell>
          <cell r="G504">
            <v>6</v>
          </cell>
        </row>
        <row r="505">
          <cell r="A505" t="str">
            <v>BGD</v>
          </cell>
          <cell r="B505" t="str">
            <v>Long</v>
          </cell>
          <cell r="C505" t="str">
            <v>2005 - 2022</v>
          </cell>
          <cell r="D505" t="str">
            <v>avg</v>
          </cell>
          <cell r="E505" t="str">
            <v>lfls1_s0_a1</v>
          </cell>
          <cell r="F505">
            <v>2.3513119220733643</v>
          </cell>
          <cell r="G505">
            <v>6</v>
          </cell>
        </row>
        <row r="506">
          <cell r="A506" t="str">
            <v>BGD</v>
          </cell>
          <cell r="B506" t="str">
            <v>Long</v>
          </cell>
          <cell r="C506" t="str">
            <v>2005 - 2022</v>
          </cell>
          <cell r="D506" t="str">
            <v>avg</v>
          </cell>
          <cell r="E506" t="str">
            <v>lfls1_s0_a2</v>
          </cell>
          <cell r="F506">
            <v>0.94259905815124512</v>
          </cell>
          <cell r="G506">
            <v>6</v>
          </cell>
        </row>
        <row r="507">
          <cell r="A507" t="str">
            <v>BGD</v>
          </cell>
          <cell r="B507" t="str">
            <v>Long</v>
          </cell>
          <cell r="C507" t="str">
            <v>2005 - 2022</v>
          </cell>
          <cell r="D507" t="str">
            <v>avg</v>
          </cell>
          <cell r="E507" t="str">
            <v>lfls1_s0_a3</v>
          </cell>
          <cell r="F507">
            <v>0.22817029058933258</v>
          </cell>
          <cell r="G507">
            <v>6</v>
          </cell>
        </row>
        <row r="508">
          <cell r="A508" t="str">
            <v>BGD</v>
          </cell>
          <cell r="B508" t="str">
            <v>Long</v>
          </cell>
          <cell r="C508" t="str">
            <v>2005 - 2022</v>
          </cell>
          <cell r="D508" t="str">
            <v>avg</v>
          </cell>
          <cell r="E508" t="str">
            <v>lfls1_s0_a4</v>
          </cell>
          <cell r="F508">
            <v>0.18383301794528961</v>
          </cell>
          <cell r="G508">
            <v>6</v>
          </cell>
        </row>
        <row r="509">
          <cell r="A509" t="str">
            <v>BGD</v>
          </cell>
          <cell r="B509" t="str">
            <v>Long</v>
          </cell>
          <cell r="C509" t="str">
            <v>2005 - 2022</v>
          </cell>
          <cell r="D509" t="str">
            <v>avg</v>
          </cell>
          <cell r="E509" t="str">
            <v>lfls1_s0_a5</v>
          </cell>
          <cell r="F509">
            <v>0.43845474720001221</v>
          </cell>
          <cell r="G509">
            <v>6</v>
          </cell>
        </row>
        <row r="510">
          <cell r="A510" t="str">
            <v>BGD</v>
          </cell>
          <cell r="B510" t="str">
            <v>Long</v>
          </cell>
          <cell r="C510" t="str">
            <v>2005 - 2022</v>
          </cell>
          <cell r="D510" t="str">
            <v>avg</v>
          </cell>
          <cell r="E510" t="str">
            <v>lfls1_s0_a6</v>
          </cell>
          <cell r="F510">
            <v>0.35996052622795105</v>
          </cell>
          <cell r="G510">
            <v>6</v>
          </cell>
        </row>
        <row r="511">
          <cell r="A511" t="str">
            <v>BGD</v>
          </cell>
          <cell r="B511" t="str">
            <v>Long</v>
          </cell>
          <cell r="C511" t="str">
            <v>2005 - 2022</v>
          </cell>
          <cell r="D511" t="str">
            <v>avg</v>
          </cell>
          <cell r="E511" t="str">
            <v>lfls1_s1_A0</v>
          </cell>
          <cell r="F511">
            <v>1.1051839590072632</v>
          </cell>
          <cell r="G511">
            <v>6</v>
          </cell>
        </row>
        <row r="512">
          <cell r="A512" t="str">
            <v>BGD</v>
          </cell>
          <cell r="B512" t="str">
            <v>Long</v>
          </cell>
          <cell r="C512" t="str">
            <v>2005 - 2022</v>
          </cell>
          <cell r="D512" t="str">
            <v>avg</v>
          </cell>
          <cell r="E512" t="str">
            <v>lfls1_s1_a1</v>
          </cell>
          <cell r="F512">
            <v>2.8441412448883057</v>
          </cell>
          <cell r="G512">
            <v>6</v>
          </cell>
        </row>
        <row r="513">
          <cell r="A513" t="str">
            <v>BGD</v>
          </cell>
          <cell r="B513" t="str">
            <v>Long</v>
          </cell>
          <cell r="C513" t="str">
            <v>2005 - 2022</v>
          </cell>
          <cell r="D513" t="str">
            <v>avg</v>
          </cell>
          <cell r="E513" t="str">
            <v>lfls1_s1_a2</v>
          </cell>
          <cell r="F513">
            <v>0.73086363077163696</v>
          </cell>
          <cell r="G513">
            <v>6</v>
          </cell>
        </row>
        <row r="514">
          <cell r="A514" t="str">
            <v>BGD</v>
          </cell>
          <cell r="B514" t="str">
            <v>Long</v>
          </cell>
          <cell r="C514" t="str">
            <v>2005 - 2022</v>
          </cell>
          <cell r="D514" t="str">
            <v>avg</v>
          </cell>
          <cell r="E514" t="str">
            <v>lfls1_s1_a3</v>
          </cell>
          <cell r="F514">
            <v>1.2905048131942749</v>
          </cell>
          <cell r="G514">
            <v>6</v>
          </cell>
        </row>
        <row r="515">
          <cell r="A515" t="str">
            <v>BGD</v>
          </cell>
          <cell r="B515" t="str">
            <v>Long</v>
          </cell>
          <cell r="C515" t="str">
            <v>2005 - 2022</v>
          </cell>
          <cell r="D515" t="str">
            <v>avg</v>
          </cell>
          <cell r="E515" t="str">
            <v>lfls1_s1_a4</v>
          </cell>
          <cell r="F515">
            <v>1.6173309087753296</v>
          </cell>
          <cell r="G515">
            <v>6</v>
          </cell>
        </row>
        <row r="516">
          <cell r="A516" t="str">
            <v>BGD</v>
          </cell>
          <cell r="B516" t="str">
            <v>Long</v>
          </cell>
          <cell r="C516" t="str">
            <v>2005 - 2022</v>
          </cell>
          <cell r="D516" t="str">
            <v>avg</v>
          </cell>
          <cell r="E516" t="str">
            <v>lfls1_s1_a5</v>
          </cell>
          <cell r="F516">
            <v>0.33024144172668457</v>
          </cell>
          <cell r="G516">
            <v>6</v>
          </cell>
        </row>
        <row r="517">
          <cell r="A517" t="str">
            <v>BGD</v>
          </cell>
          <cell r="B517" t="str">
            <v>Long</v>
          </cell>
          <cell r="C517" t="str">
            <v>2005 - 2022</v>
          </cell>
          <cell r="D517" t="str">
            <v>avg</v>
          </cell>
          <cell r="E517" t="str">
            <v>lfls1_s1_a6</v>
          </cell>
          <cell r="F517">
            <v>1.4048335552215576</v>
          </cell>
          <cell r="G517">
            <v>6</v>
          </cell>
        </row>
        <row r="518">
          <cell r="A518" t="str">
            <v>BGD</v>
          </cell>
          <cell r="B518" t="str">
            <v>Long</v>
          </cell>
          <cell r="C518" t="str">
            <v>2005 - 2022</v>
          </cell>
          <cell r="D518" t="str">
            <v>avg</v>
          </cell>
          <cell r="E518" t="str">
            <v>lfprod_s0_a1</v>
          </cell>
          <cell r="F518">
            <v>1.0009294748306274</v>
          </cell>
          <cell r="G518">
            <v>6</v>
          </cell>
        </row>
        <row r="519">
          <cell r="A519" t="str">
            <v>BGD</v>
          </cell>
          <cell r="B519" t="str">
            <v>Long</v>
          </cell>
          <cell r="C519" t="str">
            <v>2005 - 2022</v>
          </cell>
          <cell r="D519" t="str">
            <v>avg</v>
          </cell>
          <cell r="E519" t="str">
            <v>lfprod_s0_a2</v>
          </cell>
          <cell r="F519">
            <v>1.3129298167768866E-4</v>
          </cell>
          <cell r="G519">
            <v>6</v>
          </cell>
        </row>
        <row r="520">
          <cell r="A520" t="str">
            <v>BGD</v>
          </cell>
          <cell r="B520" t="str">
            <v>Long</v>
          </cell>
          <cell r="C520" t="str">
            <v>2005 - 2022</v>
          </cell>
          <cell r="D520" t="str">
            <v>avg</v>
          </cell>
          <cell r="E520" t="str">
            <v>lfprod_s0_a3</v>
          </cell>
          <cell r="F520">
            <v>-0.59776830673217773</v>
          </cell>
          <cell r="G520">
            <v>6</v>
          </cell>
        </row>
        <row r="521">
          <cell r="A521" t="str">
            <v>BGD</v>
          </cell>
          <cell r="B521" t="str">
            <v>Long</v>
          </cell>
          <cell r="C521" t="str">
            <v>2005 - 2022</v>
          </cell>
          <cell r="D521" t="str">
            <v>avg</v>
          </cell>
          <cell r="E521" t="str">
            <v>lfprod_s0_a4</v>
          </cell>
          <cell r="F521">
            <v>-0.74564176797866821</v>
          </cell>
          <cell r="G521">
            <v>6</v>
          </cell>
        </row>
        <row r="522">
          <cell r="A522" t="str">
            <v>BGD</v>
          </cell>
          <cell r="B522" t="str">
            <v>Long</v>
          </cell>
          <cell r="C522" t="str">
            <v>2005 - 2022</v>
          </cell>
          <cell r="D522" t="str">
            <v>avg</v>
          </cell>
          <cell r="E522" t="str">
            <v>lfprod_s0_a5</v>
          </cell>
          <cell r="F522">
            <v>-0.52462530136108398</v>
          </cell>
          <cell r="G522">
            <v>6</v>
          </cell>
        </row>
        <row r="523">
          <cell r="A523" t="str">
            <v>BGD</v>
          </cell>
          <cell r="B523" t="str">
            <v>Long</v>
          </cell>
          <cell r="C523" t="str">
            <v>2005 - 2022</v>
          </cell>
          <cell r="D523" t="str">
            <v>avg</v>
          </cell>
          <cell r="E523" t="str">
            <v>lfprod_s0_a6</v>
          </cell>
          <cell r="F523">
            <v>-0.51605093479156494</v>
          </cell>
          <cell r="G523">
            <v>6</v>
          </cell>
        </row>
        <row r="524">
          <cell r="A524" t="str">
            <v>BGD</v>
          </cell>
          <cell r="B524" t="str">
            <v>Long</v>
          </cell>
          <cell r="C524" t="str">
            <v>2005 - 2022</v>
          </cell>
          <cell r="D524" t="str">
            <v>avg</v>
          </cell>
          <cell r="E524" t="str">
            <v>lfprod_s1_a1</v>
          </cell>
          <cell r="F524">
            <v>1.7518855333328247</v>
          </cell>
          <cell r="G524">
            <v>6</v>
          </cell>
        </row>
        <row r="525">
          <cell r="A525" t="str">
            <v>BGD</v>
          </cell>
          <cell r="B525" t="str">
            <v>Long</v>
          </cell>
          <cell r="C525" t="str">
            <v>2005 - 2022</v>
          </cell>
          <cell r="D525" t="str">
            <v>avg</v>
          </cell>
          <cell r="E525" t="str">
            <v>lfprod_s1_a2</v>
          </cell>
          <cell r="F525">
            <v>-0.20052364468574524</v>
          </cell>
          <cell r="G525">
            <v>6</v>
          </cell>
        </row>
        <row r="526">
          <cell r="A526" t="str">
            <v>BGD</v>
          </cell>
          <cell r="B526" t="str">
            <v>Long</v>
          </cell>
          <cell r="C526" t="str">
            <v>2005 - 2022</v>
          </cell>
          <cell r="D526" t="str">
            <v>avg</v>
          </cell>
          <cell r="E526" t="str">
            <v>lfprod_s1_a3</v>
          </cell>
          <cell r="F526">
            <v>0.32712081074714661</v>
          </cell>
          <cell r="G526">
            <v>6</v>
          </cell>
        </row>
        <row r="527">
          <cell r="A527" t="str">
            <v>BGD</v>
          </cell>
          <cell r="B527" t="str">
            <v>Long</v>
          </cell>
          <cell r="C527" t="str">
            <v>2005 - 2022</v>
          </cell>
          <cell r="D527" t="str">
            <v>avg</v>
          </cell>
          <cell r="E527" t="str">
            <v>lfprod_s1_a4</v>
          </cell>
          <cell r="F527">
            <v>0.49214959144592285</v>
          </cell>
          <cell r="G527">
            <v>6</v>
          </cell>
        </row>
        <row r="528">
          <cell r="A528" t="str">
            <v>BGD</v>
          </cell>
          <cell r="B528" t="str">
            <v>Long</v>
          </cell>
          <cell r="C528" t="str">
            <v>2005 - 2022</v>
          </cell>
          <cell r="D528" t="str">
            <v>avg</v>
          </cell>
          <cell r="E528" t="str">
            <v>lfprod_s1_a5</v>
          </cell>
          <cell r="F528">
            <v>-0.53558039665222168</v>
          </cell>
          <cell r="G528">
            <v>6</v>
          </cell>
        </row>
        <row r="529">
          <cell r="A529" t="str">
            <v>BGD</v>
          </cell>
          <cell r="B529" t="str">
            <v>Long</v>
          </cell>
          <cell r="C529" t="str">
            <v>2005 - 2022</v>
          </cell>
          <cell r="D529" t="str">
            <v>avg</v>
          </cell>
          <cell r="E529" t="str">
            <v>lfprod_s1_a6</v>
          </cell>
          <cell r="F529">
            <v>0.31879907846450806</v>
          </cell>
          <cell r="G529">
            <v>6</v>
          </cell>
        </row>
        <row r="530">
          <cell r="A530" t="str">
            <v>BGD</v>
          </cell>
          <cell r="B530" t="str">
            <v>Long</v>
          </cell>
          <cell r="C530" t="str">
            <v>2005 - 2022</v>
          </cell>
          <cell r="D530" t="str">
            <v>avg_1_99</v>
          </cell>
          <cell r="E530" t="str">
            <v>lfls12_S0_A0</v>
          </cell>
          <cell r="F530">
            <v>0.37168604135513306</v>
          </cell>
          <cell r="G530">
            <v>6</v>
          </cell>
        </row>
        <row r="531">
          <cell r="A531" t="str">
            <v>BGD</v>
          </cell>
          <cell r="B531" t="str">
            <v>Long</v>
          </cell>
          <cell r="C531" t="str">
            <v>2005 - 2022</v>
          </cell>
          <cell r="D531" t="str">
            <v>avg_1_99</v>
          </cell>
          <cell r="E531" t="str">
            <v>lfls1_S0_A0</v>
          </cell>
          <cell r="F531">
            <v>0.34859895706176758</v>
          </cell>
          <cell r="G531">
            <v>6</v>
          </cell>
        </row>
        <row r="532">
          <cell r="A532" t="str">
            <v>BGD</v>
          </cell>
          <cell r="B532" t="str">
            <v>Long</v>
          </cell>
          <cell r="C532" t="str">
            <v>2005 - 2022</v>
          </cell>
          <cell r="D532" t="str">
            <v>avg_1_99</v>
          </cell>
          <cell r="E532" t="str">
            <v>lfls1_S0_a1</v>
          </cell>
          <cell r="F532">
            <v>0.36857318878173828</v>
          </cell>
          <cell r="G532">
            <v>6</v>
          </cell>
        </row>
        <row r="533">
          <cell r="A533" t="str">
            <v>BGD</v>
          </cell>
          <cell r="B533" t="str">
            <v>Long</v>
          </cell>
          <cell r="C533" t="str">
            <v>2005 - 2022</v>
          </cell>
          <cell r="D533" t="str">
            <v>avg_1_99</v>
          </cell>
          <cell r="E533" t="str">
            <v>lfls1_S0_a2</v>
          </cell>
          <cell r="F533">
            <v>0.68271607160568237</v>
          </cell>
          <cell r="G533">
            <v>6</v>
          </cell>
        </row>
        <row r="534">
          <cell r="A534" t="str">
            <v>BGD</v>
          </cell>
          <cell r="B534" t="str">
            <v>Long</v>
          </cell>
          <cell r="C534" t="str">
            <v>2005 - 2022</v>
          </cell>
          <cell r="D534" t="str">
            <v>avg_1_99</v>
          </cell>
          <cell r="E534" t="str">
            <v>lfls1_S0_a3</v>
          </cell>
          <cell r="F534">
            <v>0.20924188196659088</v>
          </cell>
          <cell r="G534">
            <v>6</v>
          </cell>
        </row>
        <row r="535">
          <cell r="A535" t="str">
            <v>BGD</v>
          </cell>
          <cell r="B535" t="str">
            <v>Long</v>
          </cell>
          <cell r="C535" t="str">
            <v>2005 - 2022</v>
          </cell>
          <cell r="D535" t="str">
            <v>avg_1_99</v>
          </cell>
          <cell r="E535" t="str">
            <v>lfls1_S0_a4</v>
          </cell>
          <cell r="F535">
            <v>6.3041701912879944E-2</v>
          </cell>
          <cell r="G535">
            <v>6</v>
          </cell>
        </row>
        <row r="536">
          <cell r="A536" t="str">
            <v>BGD</v>
          </cell>
          <cell r="B536" t="str">
            <v>Long</v>
          </cell>
          <cell r="C536" t="str">
            <v>2005 - 2022</v>
          </cell>
          <cell r="D536" t="str">
            <v>avg_1_99</v>
          </cell>
          <cell r="E536" t="str">
            <v>lfls1_S0_a5</v>
          </cell>
          <cell r="F536">
            <v>0.51822394132614136</v>
          </cell>
          <cell r="G536">
            <v>6</v>
          </cell>
        </row>
        <row r="537">
          <cell r="A537" t="str">
            <v>BGD</v>
          </cell>
          <cell r="B537" t="str">
            <v>Long</v>
          </cell>
          <cell r="C537" t="str">
            <v>2005 - 2022</v>
          </cell>
          <cell r="D537" t="str">
            <v>avg_1_99</v>
          </cell>
          <cell r="E537" t="str">
            <v>lfls1_S0_a6</v>
          </cell>
          <cell r="F537">
            <v>0.49506542086601257</v>
          </cell>
          <cell r="G537">
            <v>6</v>
          </cell>
        </row>
        <row r="538">
          <cell r="A538" t="str">
            <v>BGD</v>
          </cell>
          <cell r="B538" t="str">
            <v>Long</v>
          </cell>
          <cell r="C538" t="str">
            <v>2005 - 2022</v>
          </cell>
          <cell r="D538" t="str">
            <v>avg_1_99</v>
          </cell>
          <cell r="E538" t="str">
            <v>lfls1_s0_A0</v>
          </cell>
          <cell r="F538">
            <v>0.64339053630828857</v>
          </cell>
          <cell r="G538">
            <v>6</v>
          </cell>
        </row>
        <row r="539">
          <cell r="A539" t="str">
            <v>BGD</v>
          </cell>
          <cell r="B539" t="str">
            <v>Long</v>
          </cell>
          <cell r="C539" t="str">
            <v>2005 - 2022</v>
          </cell>
          <cell r="D539" t="str">
            <v>avg_1_99</v>
          </cell>
          <cell r="E539" t="str">
            <v>lfls1_s0_a1</v>
          </cell>
          <cell r="F539">
            <v>3.2931687831878662</v>
          </cell>
          <cell r="G539">
            <v>6</v>
          </cell>
        </row>
        <row r="540">
          <cell r="A540" t="str">
            <v>BGD</v>
          </cell>
          <cell r="B540" t="str">
            <v>Long</v>
          </cell>
          <cell r="C540" t="str">
            <v>2005 - 2022</v>
          </cell>
          <cell r="D540" t="str">
            <v>avg_1_99</v>
          </cell>
          <cell r="E540" t="str">
            <v>lfls1_s0_a2</v>
          </cell>
          <cell r="F540">
            <v>0.69580280780792236</v>
          </cell>
          <cell r="G540">
            <v>6</v>
          </cell>
        </row>
        <row r="541">
          <cell r="A541" t="str">
            <v>BGD</v>
          </cell>
          <cell r="B541" t="str">
            <v>Long</v>
          </cell>
          <cell r="C541" t="str">
            <v>2005 - 2022</v>
          </cell>
          <cell r="D541" t="str">
            <v>avg_1_99</v>
          </cell>
          <cell r="E541" t="str">
            <v>lfls1_s0_a3</v>
          </cell>
          <cell r="F541">
            <v>0.22335360944271088</v>
          </cell>
          <cell r="G541">
            <v>6</v>
          </cell>
        </row>
        <row r="542">
          <cell r="A542" t="str">
            <v>BGD</v>
          </cell>
          <cell r="B542" t="str">
            <v>Long</v>
          </cell>
          <cell r="C542" t="str">
            <v>2005 - 2022</v>
          </cell>
          <cell r="D542" t="str">
            <v>avg_1_99</v>
          </cell>
          <cell r="E542" t="str">
            <v>lfls1_s0_a4</v>
          </cell>
          <cell r="F542">
            <v>4.4012106955051422E-2</v>
          </cell>
          <cell r="G542">
            <v>6</v>
          </cell>
        </row>
        <row r="543">
          <cell r="A543" t="str">
            <v>BGD</v>
          </cell>
          <cell r="B543" t="str">
            <v>Long</v>
          </cell>
          <cell r="C543" t="str">
            <v>2005 - 2022</v>
          </cell>
          <cell r="D543" t="str">
            <v>avg_1_99</v>
          </cell>
          <cell r="E543" t="str">
            <v>lfls1_s0_a5</v>
          </cell>
          <cell r="F543">
            <v>0.48828864097595215</v>
          </cell>
          <cell r="G543">
            <v>6</v>
          </cell>
        </row>
        <row r="544">
          <cell r="A544" t="str">
            <v>BGD</v>
          </cell>
          <cell r="B544" t="str">
            <v>Long</v>
          </cell>
          <cell r="C544" t="str">
            <v>2005 - 2022</v>
          </cell>
          <cell r="D544" t="str">
            <v>avg_1_99</v>
          </cell>
          <cell r="E544" t="str">
            <v>lfls1_s0_a6</v>
          </cell>
          <cell r="F544">
            <v>0.37305942177772522</v>
          </cell>
          <cell r="G544">
            <v>6</v>
          </cell>
        </row>
        <row r="545">
          <cell r="A545" t="str">
            <v>BGD</v>
          </cell>
          <cell r="B545" t="str">
            <v>Long</v>
          </cell>
          <cell r="C545" t="str">
            <v>2005 - 2022</v>
          </cell>
          <cell r="D545" t="str">
            <v>avg_1_99</v>
          </cell>
          <cell r="E545" t="str">
            <v>lfls1_s1_A0</v>
          </cell>
          <cell r="F545">
            <v>-0.17981986701488495</v>
          </cell>
          <cell r="G545">
            <v>6</v>
          </cell>
        </row>
        <row r="546">
          <cell r="A546" t="str">
            <v>BGD</v>
          </cell>
          <cell r="B546" t="str">
            <v>Long</v>
          </cell>
          <cell r="C546" t="str">
            <v>2005 - 2022</v>
          </cell>
          <cell r="D546" t="str">
            <v>avg_1_99</v>
          </cell>
          <cell r="E546" t="str">
            <v>lfls1_s1_a1</v>
          </cell>
          <cell r="F546">
            <v>-0.84124022722244263</v>
          </cell>
          <cell r="G546">
            <v>6</v>
          </cell>
        </row>
        <row r="547">
          <cell r="A547" t="str">
            <v>BGD</v>
          </cell>
          <cell r="B547" t="str">
            <v>Long</v>
          </cell>
          <cell r="C547" t="str">
            <v>2005 - 2022</v>
          </cell>
          <cell r="D547" t="str">
            <v>avg_1_99</v>
          </cell>
          <cell r="E547" t="str">
            <v>lfls1_s1_a2</v>
          </cell>
          <cell r="F547">
            <v>0.43118780851364136</v>
          </cell>
          <cell r="G547">
            <v>6</v>
          </cell>
        </row>
        <row r="548">
          <cell r="A548" t="str">
            <v>BGD</v>
          </cell>
          <cell r="B548" t="str">
            <v>Long</v>
          </cell>
          <cell r="C548" t="str">
            <v>2005 - 2022</v>
          </cell>
          <cell r="D548" t="str">
            <v>avg_1_99</v>
          </cell>
          <cell r="E548" t="str">
            <v>lfls1_s1_a3</v>
          </cell>
          <cell r="F548">
            <v>0.97328394651412964</v>
          </cell>
          <cell r="G548">
            <v>6</v>
          </cell>
        </row>
        <row r="549">
          <cell r="A549" t="str">
            <v>BGD</v>
          </cell>
          <cell r="B549" t="str">
            <v>Long</v>
          </cell>
          <cell r="C549" t="str">
            <v>2005 - 2022</v>
          </cell>
          <cell r="D549" t="str">
            <v>avg_1_99</v>
          </cell>
          <cell r="E549" t="str">
            <v>lfls1_s1_a4</v>
          </cell>
          <cell r="F549">
            <v>1.4714318513870239</v>
          </cell>
          <cell r="G549">
            <v>6</v>
          </cell>
        </row>
        <row r="550">
          <cell r="A550" t="str">
            <v>BGD</v>
          </cell>
          <cell r="B550" t="str">
            <v>Long</v>
          </cell>
          <cell r="C550" t="str">
            <v>2005 - 2022</v>
          </cell>
          <cell r="D550" t="str">
            <v>avg_1_99</v>
          </cell>
          <cell r="E550" t="str">
            <v>lfls1_s1_a5</v>
          </cell>
          <cell r="F550">
            <v>0.32459321618080139</v>
          </cell>
          <cell r="G550">
            <v>6</v>
          </cell>
        </row>
        <row r="551">
          <cell r="A551" t="str">
            <v>BGD</v>
          </cell>
          <cell r="B551" t="str">
            <v>Long</v>
          </cell>
          <cell r="C551" t="str">
            <v>2005 - 2022</v>
          </cell>
          <cell r="D551" t="str">
            <v>avg_1_99</v>
          </cell>
          <cell r="E551" t="str">
            <v>lfls1_s1_a6</v>
          </cell>
          <cell r="F551">
            <v>1.3245351314544678</v>
          </cell>
          <cell r="G551">
            <v>6</v>
          </cell>
        </row>
        <row r="552">
          <cell r="A552" t="str">
            <v>BGD</v>
          </cell>
          <cell r="B552" t="str">
            <v>Long</v>
          </cell>
          <cell r="C552" t="str">
            <v>2005 - 2022</v>
          </cell>
          <cell r="D552" t="str">
            <v>avg_1_99</v>
          </cell>
          <cell r="E552" t="str">
            <v>lfprod_s0_a1</v>
          </cell>
          <cell r="F552">
            <v>1.9258879423141479</v>
          </cell>
          <cell r="G552">
            <v>6</v>
          </cell>
        </row>
        <row r="553">
          <cell r="A553" t="str">
            <v>BGD</v>
          </cell>
          <cell r="B553" t="str">
            <v>Long</v>
          </cell>
          <cell r="C553" t="str">
            <v>2005 - 2022</v>
          </cell>
          <cell r="D553" t="str">
            <v>avg_1_99</v>
          </cell>
          <cell r="E553" t="str">
            <v>lfprod_s0_a2</v>
          </cell>
          <cell r="F553">
            <v>-0.21003749966621399</v>
          </cell>
          <cell r="G553">
            <v>6</v>
          </cell>
        </row>
        <row r="554">
          <cell r="A554" t="str">
            <v>BGD</v>
          </cell>
          <cell r="B554" t="str">
            <v>Long</v>
          </cell>
          <cell r="C554" t="str">
            <v>2005 - 2022</v>
          </cell>
          <cell r="D554" t="str">
            <v>avg_1_99</v>
          </cell>
          <cell r="E554" t="str">
            <v>lfprod_s0_a3</v>
          </cell>
          <cell r="F554">
            <v>-0.56009644269943237</v>
          </cell>
          <cell r="G554">
            <v>6</v>
          </cell>
        </row>
        <row r="555">
          <cell r="A555" t="str">
            <v>BGD</v>
          </cell>
          <cell r="B555" t="str">
            <v>Long</v>
          </cell>
          <cell r="C555" t="str">
            <v>2005 - 2022</v>
          </cell>
          <cell r="D555" t="str">
            <v>avg_1_99</v>
          </cell>
          <cell r="E555" t="str">
            <v>lfprod_s0_a4</v>
          </cell>
          <cell r="F555">
            <v>-0.70279836654663086</v>
          </cell>
          <cell r="G555">
            <v>6</v>
          </cell>
        </row>
        <row r="556">
          <cell r="A556" t="str">
            <v>BGD</v>
          </cell>
          <cell r="B556" t="str">
            <v>Long</v>
          </cell>
          <cell r="C556" t="str">
            <v>2005 - 2022</v>
          </cell>
          <cell r="D556" t="str">
            <v>avg_1_99</v>
          </cell>
          <cell r="E556" t="str">
            <v>lfprod_s0_a5</v>
          </cell>
          <cell r="F556">
            <v>-0.44263628125190735</v>
          </cell>
          <cell r="G556">
            <v>6</v>
          </cell>
        </row>
        <row r="557">
          <cell r="A557" t="str">
            <v>BGD</v>
          </cell>
          <cell r="B557" t="str">
            <v>Long</v>
          </cell>
          <cell r="C557" t="str">
            <v>2005 - 2022</v>
          </cell>
          <cell r="D557" t="str">
            <v>avg_1_99</v>
          </cell>
          <cell r="E557" t="str">
            <v>lfprod_s0_a6</v>
          </cell>
          <cell r="F557">
            <v>-0.47984510660171509</v>
          </cell>
          <cell r="G557">
            <v>6</v>
          </cell>
        </row>
        <row r="558">
          <cell r="A558" t="str">
            <v>BGD</v>
          </cell>
          <cell r="B558" t="str">
            <v>Long</v>
          </cell>
          <cell r="C558" t="str">
            <v>2005 - 2022</v>
          </cell>
          <cell r="D558" t="str">
            <v>avg_1_99</v>
          </cell>
          <cell r="E558" t="str">
            <v>lfprod_s1_a1</v>
          </cell>
          <cell r="F558">
            <v>-1.6635783910751343</v>
          </cell>
          <cell r="G558">
            <v>6</v>
          </cell>
        </row>
        <row r="559">
          <cell r="A559" t="str">
            <v>BGD</v>
          </cell>
          <cell r="B559" t="str">
            <v>Long</v>
          </cell>
          <cell r="C559" t="str">
            <v>2005 - 2022</v>
          </cell>
          <cell r="D559" t="str">
            <v>avg_1_99</v>
          </cell>
          <cell r="E559" t="str">
            <v>lfprod_s1_a2</v>
          </cell>
          <cell r="F559">
            <v>-0.409566730260849</v>
          </cell>
          <cell r="G559">
            <v>6</v>
          </cell>
        </row>
        <row r="560">
          <cell r="A560" t="str">
            <v>BGD</v>
          </cell>
          <cell r="B560" t="str">
            <v>Long</v>
          </cell>
          <cell r="C560" t="str">
            <v>2005 - 2022</v>
          </cell>
          <cell r="D560" t="str">
            <v>avg_1_99</v>
          </cell>
          <cell r="E560" t="str">
            <v>lfprod_s1_a3</v>
          </cell>
          <cell r="F560">
            <v>2.2126905620098114E-2</v>
          </cell>
          <cell r="G560">
            <v>6</v>
          </cell>
        </row>
        <row r="561">
          <cell r="A561" t="str">
            <v>BGD</v>
          </cell>
          <cell r="B561" t="str">
            <v>Long</v>
          </cell>
          <cell r="C561" t="str">
            <v>2005 - 2022</v>
          </cell>
          <cell r="D561" t="str">
            <v>avg_1_99</v>
          </cell>
          <cell r="E561" t="str">
            <v>lfprod_s1_a4</v>
          </cell>
          <cell r="F561">
            <v>0.3328089714050293</v>
          </cell>
          <cell r="G561">
            <v>6</v>
          </cell>
        </row>
        <row r="562">
          <cell r="A562" t="str">
            <v>BGD</v>
          </cell>
          <cell r="B562" t="str">
            <v>Long</v>
          </cell>
          <cell r="C562" t="str">
            <v>2005 - 2022</v>
          </cell>
          <cell r="D562" t="str">
            <v>avg_1_99</v>
          </cell>
          <cell r="E562" t="str">
            <v>lfprod_s1_a5</v>
          </cell>
          <cell r="F562">
            <v>-0.58566129207611084</v>
          </cell>
          <cell r="G562">
            <v>6</v>
          </cell>
        </row>
        <row r="563">
          <cell r="A563" t="str">
            <v>BGD</v>
          </cell>
          <cell r="B563" t="str">
            <v>Long</v>
          </cell>
          <cell r="C563" t="str">
            <v>2005 - 2022</v>
          </cell>
          <cell r="D563" t="str">
            <v>avg_1_99</v>
          </cell>
          <cell r="E563" t="str">
            <v>lfprod_s1_a6</v>
          </cell>
          <cell r="F563">
            <v>0.23722624778747559</v>
          </cell>
          <cell r="G563">
            <v>6</v>
          </cell>
        </row>
        <row r="564">
          <cell r="A564" t="str">
            <v>BGD</v>
          </cell>
          <cell r="B564" t="str">
            <v>Long</v>
          </cell>
          <cell r="C564" t="str">
            <v>2005 - 2022</v>
          </cell>
          <cell r="D564" t="str">
            <v>avg_1_99_imp</v>
          </cell>
          <cell r="E564" t="str">
            <v>lfls12_S0_A0</v>
          </cell>
          <cell r="F564">
            <v>0.3712775707244873</v>
          </cell>
          <cell r="G564">
            <v>6</v>
          </cell>
        </row>
        <row r="565">
          <cell r="A565" t="str">
            <v>BGD</v>
          </cell>
          <cell r="B565" t="str">
            <v>Long</v>
          </cell>
          <cell r="C565" t="str">
            <v>2005 - 2022</v>
          </cell>
          <cell r="D565" t="str">
            <v>avg_1_99_imp</v>
          </cell>
          <cell r="E565" t="str">
            <v>lfls1_S0_A0</v>
          </cell>
          <cell r="F565">
            <v>0.34997311234474182</v>
          </cell>
          <cell r="G565">
            <v>6</v>
          </cell>
        </row>
        <row r="566">
          <cell r="A566" t="str">
            <v>BGD</v>
          </cell>
          <cell r="B566" t="str">
            <v>Long</v>
          </cell>
          <cell r="C566" t="str">
            <v>2005 - 2022</v>
          </cell>
          <cell r="D566" t="str">
            <v>avg_1_99_imp</v>
          </cell>
          <cell r="E566" t="str">
            <v>lfls1_S0_a1</v>
          </cell>
          <cell r="F566">
            <v>0.39568176865577698</v>
          </cell>
          <cell r="G566">
            <v>6</v>
          </cell>
        </row>
        <row r="567">
          <cell r="A567" t="str">
            <v>BGD</v>
          </cell>
          <cell r="B567" t="str">
            <v>Long</v>
          </cell>
          <cell r="C567" t="str">
            <v>2005 - 2022</v>
          </cell>
          <cell r="D567" t="str">
            <v>avg_1_99_imp</v>
          </cell>
          <cell r="E567" t="str">
            <v>lfls1_S0_a2</v>
          </cell>
          <cell r="F567">
            <v>0.42208322882652283</v>
          </cell>
          <cell r="G567">
            <v>6</v>
          </cell>
        </row>
        <row r="568">
          <cell r="A568" t="str">
            <v>BGD</v>
          </cell>
          <cell r="B568" t="str">
            <v>Long</v>
          </cell>
          <cell r="C568" t="str">
            <v>2005 - 2022</v>
          </cell>
          <cell r="D568" t="str">
            <v>avg_1_99_imp</v>
          </cell>
          <cell r="E568" t="str">
            <v>lfls1_S0_a3</v>
          </cell>
          <cell r="F568">
            <v>0.19570241868495941</v>
          </cell>
          <cell r="G568">
            <v>6</v>
          </cell>
        </row>
        <row r="569">
          <cell r="A569" t="str">
            <v>BGD</v>
          </cell>
          <cell r="B569" t="str">
            <v>Long</v>
          </cell>
          <cell r="C569" t="str">
            <v>2005 - 2022</v>
          </cell>
          <cell r="D569" t="str">
            <v>avg_1_99_imp</v>
          </cell>
          <cell r="E569" t="str">
            <v>lfls1_S0_a4</v>
          </cell>
          <cell r="F569">
            <v>4.0685061365365982E-2</v>
          </cell>
          <cell r="G569">
            <v>6</v>
          </cell>
        </row>
        <row r="570">
          <cell r="A570" t="str">
            <v>BGD</v>
          </cell>
          <cell r="B570" t="str">
            <v>Long</v>
          </cell>
          <cell r="C570" t="str">
            <v>2005 - 2022</v>
          </cell>
          <cell r="D570" t="str">
            <v>avg_1_99_imp</v>
          </cell>
          <cell r="E570" t="str">
            <v>lfls1_S0_a5</v>
          </cell>
          <cell r="F570">
            <v>0.59384632110595703</v>
          </cell>
          <cell r="G570">
            <v>6</v>
          </cell>
        </row>
        <row r="571">
          <cell r="A571" t="str">
            <v>BGD</v>
          </cell>
          <cell r="B571" t="str">
            <v>Long</v>
          </cell>
          <cell r="C571" t="str">
            <v>2005 - 2022</v>
          </cell>
          <cell r="D571" t="str">
            <v>avg_1_99_imp</v>
          </cell>
          <cell r="E571" t="str">
            <v>lfls1_S0_a6</v>
          </cell>
          <cell r="F571">
            <v>0.52773892879486084</v>
          </cell>
          <cell r="G571">
            <v>6</v>
          </cell>
        </row>
        <row r="572">
          <cell r="A572" t="str">
            <v>BGD</v>
          </cell>
          <cell r="B572" t="str">
            <v>Long</v>
          </cell>
          <cell r="C572" t="str">
            <v>2005 - 2022</v>
          </cell>
          <cell r="D572" t="str">
            <v>avg_1_99_imp</v>
          </cell>
          <cell r="E572" t="str">
            <v>lfls1_s0_A0</v>
          </cell>
          <cell r="F572">
            <v>0.62842065095901489</v>
          </cell>
          <cell r="G572">
            <v>6</v>
          </cell>
        </row>
        <row r="573">
          <cell r="A573" t="str">
            <v>BGD</v>
          </cell>
          <cell r="B573" t="str">
            <v>Long</v>
          </cell>
          <cell r="C573" t="str">
            <v>2005 - 2022</v>
          </cell>
          <cell r="D573" t="str">
            <v>avg_1_99_imp</v>
          </cell>
          <cell r="E573" t="str">
            <v>lfls1_s0_a1</v>
          </cell>
          <cell r="F573">
            <v>3.0072832107543945</v>
          </cell>
          <cell r="G573">
            <v>6</v>
          </cell>
        </row>
        <row r="574">
          <cell r="A574" t="str">
            <v>BGD</v>
          </cell>
          <cell r="B574" t="str">
            <v>Long</v>
          </cell>
          <cell r="C574" t="str">
            <v>2005 - 2022</v>
          </cell>
          <cell r="D574" t="str">
            <v>avg_1_99_imp</v>
          </cell>
          <cell r="E574" t="str">
            <v>lfls1_s0_a2</v>
          </cell>
          <cell r="F574">
            <v>0.42270615696907043</v>
          </cell>
          <cell r="G574">
            <v>6</v>
          </cell>
        </row>
        <row r="575">
          <cell r="A575" t="str">
            <v>BGD</v>
          </cell>
          <cell r="B575" t="str">
            <v>Long</v>
          </cell>
          <cell r="C575" t="str">
            <v>2005 - 2022</v>
          </cell>
          <cell r="D575" t="str">
            <v>avg_1_99_imp</v>
          </cell>
          <cell r="E575" t="str">
            <v>lfls1_s0_a3</v>
          </cell>
          <cell r="F575">
            <v>0.17515182495117188</v>
          </cell>
          <cell r="G575">
            <v>6</v>
          </cell>
        </row>
        <row r="576">
          <cell r="A576" t="str">
            <v>BGD</v>
          </cell>
          <cell r="B576" t="str">
            <v>Long</v>
          </cell>
          <cell r="C576" t="str">
            <v>2005 - 2022</v>
          </cell>
          <cell r="D576" t="str">
            <v>avg_1_99_imp</v>
          </cell>
          <cell r="E576" t="str">
            <v>lfls1_s0_a4</v>
          </cell>
          <cell r="F576">
            <v>2.4536393582820892E-2</v>
          </cell>
          <cell r="G576">
            <v>6</v>
          </cell>
        </row>
        <row r="577">
          <cell r="A577" t="str">
            <v>BGD</v>
          </cell>
          <cell r="B577" t="str">
            <v>Long</v>
          </cell>
          <cell r="C577" t="str">
            <v>2005 - 2022</v>
          </cell>
          <cell r="D577" t="str">
            <v>avg_1_99_imp</v>
          </cell>
          <cell r="E577" t="str">
            <v>lfls1_s0_a5</v>
          </cell>
          <cell r="F577">
            <v>0.49062842130661011</v>
          </cell>
          <cell r="G577">
            <v>6</v>
          </cell>
        </row>
        <row r="578">
          <cell r="A578" t="str">
            <v>BGD</v>
          </cell>
          <cell r="B578" t="str">
            <v>Long</v>
          </cell>
          <cell r="C578" t="str">
            <v>2005 - 2022</v>
          </cell>
          <cell r="D578" t="str">
            <v>avg_1_99_imp</v>
          </cell>
          <cell r="E578" t="str">
            <v>lfls1_s0_a6</v>
          </cell>
          <cell r="F578">
            <v>0.30231174826622009</v>
          </cell>
          <cell r="G578">
            <v>6</v>
          </cell>
        </row>
        <row r="579">
          <cell r="A579" t="str">
            <v>BGD</v>
          </cell>
          <cell r="B579" t="str">
            <v>Long</v>
          </cell>
          <cell r="C579" t="str">
            <v>2005 - 2022</v>
          </cell>
          <cell r="D579" t="str">
            <v>avg_1_99_imp</v>
          </cell>
          <cell r="E579" t="str">
            <v>lfls1_s1_A0</v>
          </cell>
          <cell r="F579">
            <v>-0.22317075729370117</v>
          </cell>
          <cell r="G579">
            <v>6</v>
          </cell>
        </row>
        <row r="580">
          <cell r="A580" t="str">
            <v>BGD</v>
          </cell>
          <cell r="B580" t="str">
            <v>Long</v>
          </cell>
          <cell r="C580" t="str">
            <v>2005 - 2022</v>
          </cell>
          <cell r="D580" t="str">
            <v>avg_1_99_imp</v>
          </cell>
          <cell r="E580" t="str">
            <v>lfls1_s1_a1</v>
          </cell>
          <cell r="F580">
            <v>-0.9830518364906311</v>
          </cell>
          <cell r="G580">
            <v>6</v>
          </cell>
        </row>
        <row r="581">
          <cell r="A581" t="str">
            <v>BGD</v>
          </cell>
          <cell r="B581" t="str">
            <v>Long</v>
          </cell>
          <cell r="C581" t="str">
            <v>2005 - 2022</v>
          </cell>
          <cell r="D581" t="str">
            <v>avg_1_99_imp</v>
          </cell>
          <cell r="E581" t="str">
            <v>lfls1_s1_a2</v>
          </cell>
          <cell r="F581">
            <v>0.418416827917099</v>
          </cell>
          <cell r="G581">
            <v>6</v>
          </cell>
        </row>
        <row r="582">
          <cell r="A582" t="str">
            <v>BGD</v>
          </cell>
          <cell r="B582" t="str">
            <v>Long</v>
          </cell>
          <cell r="C582" t="str">
            <v>2005 - 2022</v>
          </cell>
          <cell r="D582" t="str">
            <v>avg_1_99_imp</v>
          </cell>
          <cell r="E582" t="str">
            <v>lfls1_s1_a3</v>
          </cell>
          <cell r="F582">
            <v>0.83846867084503174</v>
          </cell>
          <cell r="G582">
            <v>6</v>
          </cell>
        </row>
        <row r="583">
          <cell r="A583" t="str">
            <v>BGD</v>
          </cell>
          <cell r="B583" t="str">
            <v>Long</v>
          </cell>
          <cell r="C583" t="str">
            <v>2005 - 2022</v>
          </cell>
          <cell r="D583" t="str">
            <v>avg_1_99_imp</v>
          </cell>
          <cell r="E583" t="str">
            <v>lfls1_s1_a4</v>
          </cell>
          <cell r="F583">
            <v>1.3915665149688721</v>
          </cell>
          <cell r="G583">
            <v>6</v>
          </cell>
        </row>
        <row r="584">
          <cell r="A584" t="str">
            <v>BGD</v>
          </cell>
          <cell r="B584" t="str">
            <v>Long</v>
          </cell>
          <cell r="C584" t="str">
            <v>2005 - 2022</v>
          </cell>
          <cell r="D584" t="str">
            <v>avg_1_99_imp</v>
          </cell>
          <cell r="E584" t="str">
            <v>lfls1_s1_a5</v>
          </cell>
          <cell r="F584">
            <v>0.28872352838516235</v>
          </cell>
          <cell r="G584">
            <v>6</v>
          </cell>
        </row>
        <row r="585">
          <cell r="A585" t="str">
            <v>BGD</v>
          </cell>
          <cell r="B585" t="str">
            <v>Long</v>
          </cell>
          <cell r="C585" t="str">
            <v>2005 - 2022</v>
          </cell>
          <cell r="D585" t="str">
            <v>avg_1_99_imp</v>
          </cell>
          <cell r="E585" t="str">
            <v>lfls1_s1_a6</v>
          </cell>
          <cell r="F585">
            <v>1.287592887878418</v>
          </cell>
          <cell r="G585">
            <v>6</v>
          </cell>
        </row>
        <row r="586">
          <cell r="A586" t="str">
            <v>BGD</v>
          </cell>
          <cell r="B586" t="str">
            <v>Long</v>
          </cell>
          <cell r="C586" t="str">
            <v>2005 - 2022</v>
          </cell>
          <cell r="D586" t="str">
            <v>avg_1_99_imp</v>
          </cell>
          <cell r="E586" t="str">
            <v>lfprod_s0_a1</v>
          </cell>
          <cell r="F586">
            <v>1.7610269784927368</v>
          </cell>
          <cell r="G586">
            <v>6</v>
          </cell>
        </row>
        <row r="587">
          <cell r="A587" t="str">
            <v>BGD</v>
          </cell>
          <cell r="B587" t="str">
            <v>Long</v>
          </cell>
          <cell r="C587" t="str">
            <v>2005 - 2022</v>
          </cell>
          <cell r="D587" t="str">
            <v>avg_1_99_imp</v>
          </cell>
          <cell r="E587" t="str">
            <v>lfprod_s0_a2</v>
          </cell>
          <cell r="F587">
            <v>-0.35352212190628052</v>
          </cell>
          <cell r="G587">
            <v>6</v>
          </cell>
        </row>
        <row r="588">
          <cell r="A588" t="str">
            <v>BGD</v>
          </cell>
          <cell r="B588" t="str">
            <v>Long</v>
          </cell>
          <cell r="C588" t="str">
            <v>2005 - 2022</v>
          </cell>
          <cell r="D588" t="str">
            <v>avg_1_99_imp</v>
          </cell>
          <cell r="E588" t="str">
            <v>lfprod_s0_a3</v>
          </cell>
          <cell r="F588">
            <v>-0.62844640016555786</v>
          </cell>
          <cell r="G588">
            <v>6</v>
          </cell>
        </row>
        <row r="589">
          <cell r="A589" t="str">
            <v>BGD</v>
          </cell>
          <cell r="B589" t="str">
            <v>Long</v>
          </cell>
          <cell r="C589" t="str">
            <v>2005 - 2022</v>
          </cell>
          <cell r="D589" t="str">
            <v>avg_1_99_imp</v>
          </cell>
          <cell r="E589" t="str">
            <v>lfprod_s0_a4</v>
          </cell>
          <cell r="F589">
            <v>-0.68481701612472534</v>
          </cell>
          <cell r="G589">
            <v>6</v>
          </cell>
        </row>
        <row r="590">
          <cell r="A590" t="str">
            <v>BGD</v>
          </cell>
          <cell r="B590" t="str">
            <v>Long</v>
          </cell>
          <cell r="C590" t="str">
            <v>2005 - 2022</v>
          </cell>
          <cell r="D590" t="str">
            <v>avg_1_99_imp</v>
          </cell>
          <cell r="E590" t="str">
            <v>lfprod_s0_a5</v>
          </cell>
          <cell r="F590">
            <v>-0.39006868004798889</v>
          </cell>
          <cell r="G590">
            <v>6</v>
          </cell>
        </row>
        <row r="591">
          <cell r="A591" t="str">
            <v>BGD</v>
          </cell>
          <cell r="B591" t="str">
            <v>Long</v>
          </cell>
          <cell r="C591" t="str">
            <v>2005 - 2022</v>
          </cell>
          <cell r="D591" t="str">
            <v>avg_1_99_imp</v>
          </cell>
          <cell r="E591" t="str">
            <v>lfprod_s0_a6</v>
          </cell>
          <cell r="F591">
            <v>-0.51004868745803833</v>
          </cell>
          <cell r="G591">
            <v>6</v>
          </cell>
        </row>
        <row r="592">
          <cell r="A592" t="str">
            <v>BGD</v>
          </cell>
          <cell r="B592" t="str">
            <v>Long</v>
          </cell>
          <cell r="C592" t="str">
            <v>2005 - 2022</v>
          </cell>
          <cell r="D592" t="str">
            <v>avg_1_99_imp</v>
          </cell>
          <cell r="E592" t="str">
            <v>lfprod_s1_a1</v>
          </cell>
          <cell r="F592">
            <v>-1.8169291019439697</v>
          </cell>
          <cell r="G592">
            <v>6</v>
          </cell>
        </row>
        <row r="593">
          <cell r="A593" t="str">
            <v>BGD</v>
          </cell>
          <cell r="B593" t="str">
            <v>Long</v>
          </cell>
          <cell r="C593" t="str">
            <v>2005 - 2022</v>
          </cell>
          <cell r="D593" t="str">
            <v>avg_1_99_imp</v>
          </cell>
          <cell r="E593" t="str">
            <v>lfprod_s1_a2</v>
          </cell>
          <cell r="F593">
            <v>-0.37846711277961731</v>
          </cell>
          <cell r="G593">
            <v>6</v>
          </cell>
        </row>
        <row r="594">
          <cell r="A594" t="str">
            <v>BGD</v>
          </cell>
          <cell r="B594" t="str">
            <v>Long</v>
          </cell>
          <cell r="C594" t="str">
            <v>2005 - 2022</v>
          </cell>
          <cell r="D594" t="str">
            <v>avg_1_99_imp</v>
          </cell>
          <cell r="E594" t="str">
            <v>lfprod_s1_a3</v>
          </cell>
          <cell r="F594">
            <v>-0.12150750309228897</v>
          </cell>
          <cell r="G594">
            <v>6</v>
          </cell>
        </row>
        <row r="595">
          <cell r="A595" t="str">
            <v>BGD</v>
          </cell>
          <cell r="B595" t="str">
            <v>Long</v>
          </cell>
          <cell r="C595" t="str">
            <v>2005 - 2022</v>
          </cell>
          <cell r="D595" t="str">
            <v>avg_1_99_imp</v>
          </cell>
          <cell r="E595" t="str">
            <v>lfprod_s1_a4</v>
          </cell>
          <cell r="F595">
            <v>0.27085983753204346</v>
          </cell>
          <cell r="G595">
            <v>6</v>
          </cell>
        </row>
        <row r="596">
          <cell r="A596" t="str">
            <v>BGD</v>
          </cell>
          <cell r="B596" t="str">
            <v>Long</v>
          </cell>
          <cell r="C596" t="str">
            <v>2005 - 2022</v>
          </cell>
          <cell r="D596" t="str">
            <v>avg_1_99_imp</v>
          </cell>
          <cell r="E596" t="str">
            <v>lfprod_s1_a5</v>
          </cell>
          <cell r="F596">
            <v>-0.63837218284606934</v>
          </cell>
          <cell r="G596">
            <v>6</v>
          </cell>
        </row>
        <row r="597">
          <cell r="A597" t="str">
            <v>BGD</v>
          </cell>
          <cell r="B597" t="str">
            <v>Long</v>
          </cell>
          <cell r="C597" t="str">
            <v>2005 - 2022</v>
          </cell>
          <cell r="D597" t="str">
            <v>avg_1_99_imp</v>
          </cell>
          <cell r="E597" t="str">
            <v>lfprod_s1_a6</v>
          </cell>
          <cell r="F597">
            <v>0.23126831650733948</v>
          </cell>
          <cell r="G597">
            <v>6</v>
          </cell>
        </row>
        <row r="598">
          <cell r="A598" t="str">
            <v>BGD</v>
          </cell>
          <cell r="B598" t="str">
            <v>Long</v>
          </cell>
          <cell r="C598" t="str">
            <v>2005 - 2022</v>
          </cell>
          <cell r="D598" t="str">
            <v>med_reg</v>
          </cell>
          <cell r="E598" t="str">
            <v>lfls12_S0_A0</v>
          </cell>
          <cell r="F598">
            <v>0.359465092420578</v>
          </cell>
          <cell r="G598">
            <v>6</v>
          </cell>
        </row>
        <row r="599">
          <cell r="A599" t="str">
            <v>BGD</v>
          </cell>
          <cell r="B599" t="str">
            <v>Long</v>
          </cell>
          <cell r="C599" t="str">
            <v>2005 - 2022</v>
          </cell>
          <cell r="D599" t="str">
            <v>med_reg</v>
          </cell>
          <cell r="E599" t="str">
            <v>lfls1_S0_A0</v>
          </cell>
          <cell r="F599">
            <v>0.37110373377799988</v>
          </cell>
          <cell r="G599">
            <v>6</v>
          </cell>
        </row>
        <row r="600">
          <cell r="A600" t="str">
            <v>BGD</v>
          </cell>
          <cell r="B600" t="str">
            <v>Long</v>
          </cell>
          <cell r="C600" t="str">
            <v>2005 - 2022</v>
          </cell>
          <cell r="D600" t="str">
            <v>med_reg</v>
          </cell>
          <cell r="E600" t="str">
            <v>lfls1_S0_a1</v>
          </cell>
          <cell r="F600">
            <v>0.39543730020523071</v>
          </cell>
          <cell r="G600">
            <v>6</v>
          </cell>
        </row>
        <row r="601">
          <cell r="A601" t="str">
            <v>BGD</v>
          </cell>
          <cell r="B601" t="str">
            <v>Long</v>
          </cell>
          <cell r="C601" t="str">
            <v>2005 - 2022</v>
          </cell>
          <cell r="D601" t="str">
            <v>med_reg</v>
          </cell>
          <cell r="E601" t="str">
            <v>lfls1_S0_a2</v>
          </cell>
          <cell r="F601">
            <v>0.34433221817016602</v>
          </cell>
          <cell r="G601">
            <v>6</v>
          </cell>
        </row>
        <row r="602">
          <cell r="A602" t="str">
            <v>BGD</v>
          </cell>
          <cell r="B602" t="str">
            <v>Long</v>
          </cell>
          <cell r="C602" t="str">
            <v>2005 - 2022</v>
          </cell>
          <cell r="D602" t="str">
            <v>med_reg</v>
          </cell>
          <cell r="E602" t="str">
            <v>lfls1_S0_a3</v>
          </cell>
          <cell r="F602">
            <v>0.46603122353553772</v>
          </cell>
          <cell r="G602">
            <v>6</v>
          </cell>
        </row>
        <row r="603">
          <cell r="A603" t="str">
            <v>BGD</v>
          </cell>
          <cell r="B603" t="str">
            <v>Long</v>
          </cell>
          <cell r="C603" t="str">
            <v>2005 - 2022</v>
          </cell>
          <cell r="D603" t="str">
            <v>med_reg</v>
          </cell>
          <cell r="E603" t="str">
            <v>lfls1_S0_a4</v>
          </cell>
          <cell r="F603">
            <v>0.24608680605888367</v>
          </cell>
          <cell r="G603">
            <v>6</v>
          </cell>
        </row>
        <row r="604">
          <cell r="A604" t="str">
            <v>BGD</v>
          </cell>
          <cell r="B604" t="str">
            <v>Long</v>
          </cell>
          <cell r="C604" t="str">
            <v>2005 - 2022</v>
          </cell>
          <cell r="D604" t="str">
            <v>med_reg</v>
          </cell>
          <cell r="E604" t="str">
            <v>lfls1_S0_a5</v>
          </cell>
          <cell r="F604">
            <v>0.60536772012710571</v>
          </cell>
          <cell r="G604">
            <v>6</v>
          </cell>
        </row>
        <row r="605">
          <cell r="A605" t="str">
            <v>BGD</v>
          </cell>
          <cell r="B605" t="str">
            <v>Long</v>
          </cell>
          <cell r="C605" t="str">
            <v>2005 - 2022</v>
          </cell>
          <cell r="D605" t="str">
            <v>med_reg</v>
          </cell>
          <cell r="E605" t="str">
            <v>lfls1_S0_a6</v>
          </cell>
          <cell r="F605">
            <v>0.57744789123535156</v>
          </cell>
          <cell r="G605">
            <v>6</v>
          </cell>
        </row>
        <row r="606">
          <cell r="A606" t="str">
            <v>BGD</v>
          </cell>
          <cell r="B606" t="str">
            <v>Long</v>
          </cell>
          <cell r="C606" t="str">
            <v>2005 - 2022</v>
          </cell>
          <cell r="D606" t="str">
            <v>med_reg</v>
          </cell>
          <cell r="E606" t="str">
            <v>lfls1_s0_A0</v>
          </cell>
          <cell r="F606">
            <v>0.33947247266769409</v>
          </cell>
          <cell r="G606">
            <v>6</v>
          </cell>
        </row>
        <row r="607">
          <cell r="A607" t="str">
            <v>BGD</v>
          </cell>
          <cell r="B607" t="str">
            <v>Long</v>
          </cell>
          <cell r="C607" t="str">
            <v>2005 - 2022</v>
          </cell>
          <cell r="D607" t="str">
            <v>med_reg</v>
          </cell>
          <cell r="E607" t="str">
            <v>lfls1_s0_a1</v>
          </cell>
          <cell r="F607">
            <v>-0.36433190107345581</v>
          </cell>
          <cell r="G607">
            <v>6</v>
          </cell>
        </row>
        <row r="608">
          <cell r="A608" t="str">
            <v>BGD</v>
          </cell>
          <cell r="B608" t="str">
            <v>Long</v>
          </cell>
          <cell r="C608" t="str">
            <v>2005 - 2022</v>
          </cell>
          <cell r="D608" t="str">
            <v>med_reg</v>
          </cell>
          <cell r="E608" t="str">
            <v>lfls1_s0_a2</v>
          </cell>
          <cell r="F608">
            <v>0.32926544547080994</v>
          </cell>
          <cell r="G608">
            <v>6</v>
          </cell>
        </row>
        <row r="609">
          <cell r="A609" t="str">
            <v>BGD</v>
          </cell>
          <cell r="B609" t="str">
            <v>Long</v>
          </cell>
          <cell r="C609" t="str">
            <v>2005 - 2022</v>
          </cell>
          <cell r="D609" t="str">
            <v>med_reg</v>
          </cell>
          <cell r="E609" t="str">
            <v>lfls1_s0_a3</v>
          </cell>
          <cell r="F609">
            <v>0.3467467725276947</v>
          </cell>
          <cell r="G609">
            <v>6</v>
          </cell>
        </row>
        <row r="610">
          <cell r="A610" t="str">
            <v>BGD</v>
          </cell>
          <cell r="B610" t="str">
            <v>Long</v>
          </cell>
          <cell r="C610" t="str">
            <v>2005 - 2022</v>
          </cell>
          <cell r="D610" t="str">
            <v>med_reg</v>
          </cell>
          <cell r="E610" t="str">
            <v>lfls1_s0_a4</v>
          </cell>
          <cell r="F610">
            <v>0.21263328194618225</v>
          </cell>
          <cell r="G610">
            <v>6</v>
          </cell>
        </row>
        <row r="611">
          <cell r="A611" t="str">
            <v>BGD</v>
          </cell>
          <cell r="B611" t="str">
            <v>Long</v>
          </cell>
          <cell r="C611" t="str">
            <v>2005 - 2022</v>
          </cell>
          <cell r="D611" t="str">
            <v>med_reg</v>
          </cell>
          <cell r="E611" t="str">
            <v>lfls1_s0_a5</v>
          </cell>
          <cell r="F611">
            <v>0.54358220100402832</v>
          </cell>
          <cell r="G611">
            <v>6</v>
          </cell>
        </row>
        <row r="612">
          <cell r="A612" t="str">
            <v>BGD</v>
          </cell>
          <cell r="B612" t="str">
            <v>Long</v>
          </cell>
          <cell r="C612" t="str">
            <v>2005 - 2022</v>
          </cell>
          <cell r="D612" t="str">
            <v>med_reg</v>
          </cell>
          <cell r="E612" t="str">
            <v>lfls1_s0_a6</v>
          </cell>
          <cell r="F612">
            <v>0.3339264988899231</v>
          </cell>
          <cell r="G612">
            <v>6</v>
          </cell>
        </row>
        <row r="613">
          <cell r="A613" t="str">
            <v>BGD</v>
          </cell>
          <cell r="B613" t="str">
            <v>Long</v>
          </cell>
          <cell r="C613" t="str">
            <v>2005 - 2022</v>
          </cell>
          <cell r="D613" t="str">
            <v>med_reg</v>
          </cell>
          <cell r="E613" t="str">
            <v>lfls1_s1_A0</v>
          </cell>
          <cell r="F613">
            <v>0.44557538628578186</v>
          </cell>
          <cell r="G613">
            <v>6</v>
          </cell>
        </row>
        <row r="614">
          <cell r="A614" t="str">
            <v>BGD</v>
          </cell>
          <cell r="B614" t="str">
            <v>Long</v>
          </cell>
          <cell r="C614" t="str">
            <v>2005 - 2022</v>
          </cell>
          <cell r="D614" t="str">
            <v>med_reg</v>
          </cell>
          <cell r="E614" t="str">
            <v>lfls1_s1_a1</v>
          </cell>
          <cell r="F614">
            <v>0.48070895671844482</v>
          </cell>
          <cell r="G614">
            <v>6</v>
          </cell>
        </row>
        <row r="615">
          <cell r="A615" t="str">
            <v>BGD</v>
          </cell>
          <cell r="B615" t="str">
            <v>Long</v>
          </cell>
          <cell r="C615" t="str">
            <v>2005 - 2022</v>
          </cell>
          <cell r="D615" t="str">
            <v>med_reg</v>
          </cell>
          <cell r="E615" t="str">
            <v>lfls1_s1_a2</v>
          </cell>
          <cell r="F615">
            <v>0.81915068626403809</v>
          </cell>
          <cell r="G615">
            <v>6</v>
          </cell>
        </row>
        <row r="616">
          <cell r="A616" t="str">
            <v>BGD</v>
          </cell>
          <cell r="B616" t="str">
            <v>Long</v>
          </cell>
          <cell r="C616" t="str">
            <v>2005 - 2022</v>
          </cell>
          <cell r="D616" t="str">
            <v>med_reg</v>
          </cell>
          <cell r="E616" t="str">
            <v>lfls1_s1_a3</v>
          </cell>
          <cell r="F616">
            <v>0.51386463642120361</v>
          </cell>
          <cell r="G616">
            <v>6</v>
          </cell>
        </row>
        <row r="617">
          <cell r="A617" t="str">
            <v>BGD</v>
          </cell>
          <cell r="B617" t="str">
            <v>Long</v>
          </cell>
          <cell r="C617" t="str">
            <v>2005 - 2022</v>
          </cell>
          <cell r="D617" t="str">
            <v>med_reg</v>
          </cell>
          <cell r="E617" t="str">
            <v>lfls1_s1_a4</v>
          </cell>
          <cell r="F617">
            <v>1.6567397117614746</v>
          </cell>
          <cell r="G617">
            <v>6</v>
          </cell>
        </row>
        <row r="618">
          <cell r="A618" t="str">
            <v>BGD</v>
          </cell>
          <cell r="B618" t="str">
            <v>Long</v>
          </cell>
          <cell r="C618" t="str">
            <v>2005 - 2022</v>
          </cell>
          <cell r="D618" t="str">
            <v>med_reg</v>
          </cell>
          <cell r="E618" t="str">
            <v>lfls1_s1_a5</v>
          </cell>
          <cell r="F618">
            <v>0.43778222799301147</v>
          </cell>
          <cell r="G618">
            <v>6</v>
          </cell>
        </row>
        <row r="619">
          <cell r="A619" t="str">
            <v>BGD</v>
          </cell>
          <cell r="B619" t="str">
            <v>Long</v>
          </cell>
          <cell r="C619" t="str">
            <v>2005 - 2022</v>
          </cell>
          <cell r="D619" t="str">
            <v>med_reg</v>
          </cell>
          <cell r="E619" t="str">
            <v>lfls1_s1_a6</v>
          </cell>
          <cell r="F619">
            <v>1.3580807447433472</v>
          </cell>
          <cell r="G619">
            <v>6</v>
          </cell>
        </row>
        <row r="620">
          <cell r="A620" t="str">
            <v>BGD</v>
          </cell>
          <cell r="B620" t="str">
            <v>Long</v>
          </cell>
          <cell r="C620" t="str">
            <v>2005 - 2022</v>
          </cell>
          <cell r="D620" t="str">
            <v>med_reg</v>
          </cell>
          <cell r="E620" t="str">
            <v>lfprod_s0_a1</v>
          </cell>
          <cell r="F620">
            <v>-1.364331841468811</v>
          </cell>
          <cell r="G620">
            <v>6</v>
          </cell>
        </row>
        <row r="621">
          <cell r="A621" t="str">
            <v>BGD</v>
          </cell>
          <cell r="B621" t="str">
            <v>Long</v>
          </cell>
          <cell r="C621" t="str">
            <v>2005 - 2022</v>
          </cell>
          <cell r="D621" t="str">
            <v>med_reg</v>
          </cell>
          <cell r="E621" t="str">
            <v>lfprod_s0_a2</v>
          </cell>
          <cell r="F621">
            <v>-0.67073458433151245</v>
          </cell>
          <cell r="G621">
            <v>6</v>
          </cell>
        </row>
        <row r="622">
          <cell r="A622" t="str">
            <v>BGD</v>
          </cell>
          <cell r="B622" t="str">
            <v>Long</v>
          </cell>
          <cell r="C622" t="str">
            <v>2005 - 2022</v>
          </cell>
          <cell r="D622" t="str">
            <v>med_reg</v>
          </cell>
          <cell r="E622" t="str">
            <v>lfprod_s0_a3</v>
          </cell>
          <cell r="F622">
            <v>-0.65325319766998291</v>
          </cell>
          <cell r="G622">
            <v>6</v>
          </cell>
        </row>
        <row r="623">
          <cell r="A623" t="str">
            <v>BGD</v>
          </cell>
          <cell r="B623" t="str">
            <v>Long</v>
          </cell>
          <cell r="C623" t="str">
            <v>2005 - 2022</v>
          </cell>
          <cell r="D623" t="str">
            <v>med_reg</v>
          </cell>
          <cell r="E623" t="str">
            <v>lfprod_s0_a4</v>
          </cell>
          <cell r="F623">
            <v>-0.78736674785614014</v>
          </cell>
          <cell r="G623">
            <v>6</v>
          </cell>
        </row>
        <row r="624">
          <cell r="A624" t="str">
            <v>BGD</v>
          </cell>
          <cell r="B624" t="str">
            <v>Long</v>
          </cell>
          <cell r="C624" t="str">
            <v>2005 - 2022</v>
          </cell>
          <cell r="D624" t="str">
            <v>med_reg</v>
          </cell>
          <cell r="E624" t="str">
            <v>lfprod_s0_a5</v>
          </cell>
          <cell r="F624">
            <v>-0.45641779899597168</v>
          </cell>
          <cell r="G624">
            <v>6</v>
          </cell>
        </row>
        <row r="625">
          <cell r="A625" t="str">
            <v>BGD</v>
          </cell>
          <cell r="B625" t="str">
            <v>Long</v>
          </cell>
          <cell r="C625" t="str">
            <v>2005 - 2022</v>
          </cell>
          <cell r="D625" t="str">
            <v>med_reg</v>
          </cell>
          <cell r="E625" t="str">
            <v>lfprod_s0_a6</v>
          </cell>
          <cell r="F625">
            <v>-0.6660735011100769</v>
          </cell>
          <cell r="G625">
            <v>6</v>
          </cell>
        </row>
        <row r="626">
          <cell r="A626" t="str">
            <v>BGD</v>
          </cell>
          <cell r="B626" t="str">
            <v>Long</v>
          </cell>
          <cell r="C626" t="str">
            <v>2005 - 2022</v>
          </cell>
          <cell r="D626" t="str">
            <v>med_reg</v>
          </cell>
          <cell r="E626" t="str">
            <v>lfprod_s1_a1</v>
          </cell>
          <cell r="F626">
            <v>-0.51929104328155518</v>
          </cell>
          <cell r="G626">
            <v>6</v>
          </cell>
        </row>
        <row r="627">
          <cell r="A627" t="str">
            <v>BGD</v>
          </cell>
          <cell r="B627" t="str">
            <v>Long</v>
          </cell>
          <cell r="C627" t="str">
            <v>2005 - 2022</v>
          </cell>
          <cell r="D627" t="str">
            <v>med_reg</v>
          </cell>
          <cell r="E627" t="str">
            <v>lfprod_s1_a2</v>
          </cell>
          <cell r="F627">
            <v>-0.18084932863712311</v>
          </cell>
          <cell r="G627">
            <v>6</v>
          </cell>
        </row>
        <row r="628">
          <cell r="A628" t="str">
            <v>BGD</v>
          </cell>
          <cell r="B628" t="str">
            <v>Long</v>
          </cell>
          <cell r="C628" t="str">
            <v>2005 - 2022</v>
          </cell>
          <cell r="D628" t="str">
            <v>med_reg</v>
          </cell>
          <cell r="E628" t="str">
            <v>lfprod_s1_a3</v>
          </cell>
          <cell r="F628">
            <v>-0.48613536357879639</v>
          </cell>
          <cell r="G628">
            <v>6</v>
          </cell>
        </row>
        <row r="629">
          <cell r="A629" t="str">
            <v>BGD</v>
          </cell>
          <cell r="B629" t="str">
            <v>Long</v>
          </cell>
          <cell r="C629" t="str">
            <v>2005 - 2022</v>
          </cell>
          <cell r="D629" t="str">
            <v>med_reg</v>
          </cell>
          <cell r="E629" t="str">
            <v>lfprod_s1_a4</v>
          </cell>
          <cell r="F629">
            <v>0.65673965215682983</v>
          </cell>
          <cell r="G629">
            <v>6</v>
          </cell>
        </row>
        <row r="630">
          <cell r="A630" t="str">
            <v>BGD</v>
          </cell>
          <cell r="B630" t="str">
            <v>Long</v>
          </cell>
          <cell r="C630" t="str">
            <v>2005 - 2022</v>
          </cell>
          <cell r="D630" t="str">
            <v>med_reg</v>
          </cell>
          <cell r="E630" t="str">
            <v>lfprod_s1_a5</v>
          </cell>
          <cell r="F630">
            <v>-0.56221777200698853</v>
          </cell>
          <cell r="G630">
            <v>6</v>
          </cell>
        </row>
        <row r="631">
          <cell r="A631" t="str">
            <v>BGD</v>
          </cell>
          <cell r="B631" t="str">
            <v>Long</v>
          </cell>
          <cell r="C631" t="str">
            <v>2005 - 2022</v>
          </cell>
          <cell r="D631" t="str">
            <v>med_reg</v>
          </cell>
          <cell r="E631" t="str">
            <v>lfprod_s1_a6</v>
          </cell>
          <cell r="F631">
            <v>0.35808080434799194</v>
          </cell>
          <cell r="G631">
            <v>6</v>
          </cell>
        </row>
        <row r="632">
          <cell r="A632" t="str">
            <v>BGD</v>
          </cell>
          <cell r="B632" t="str">
            <v>Long</v>
          </cell>
          <cell r="C632" t="str">
            <v>2005 - 2022</v>
          </cell>
          <cell r="D632" t="str">
            <v>med_reg_gdp</v>
          </cell>
          <cell r="E632" t="str">
            <v>lfls12_S0_A0</v>
          </cell>
          <cell r="F632">
            <v>0.359465092420578</v>
          </cell>
          <cell r="G632">
            <v>6</v>
          </cell>
        </row>
        <row r="633">
          <cell r="A633" t="str">
            <v>BGD</v>
          </cell>
          <cell r="B633" t="str">
            <v>Long</v>
          </cell>
          <cell r="C633" t="str">
            <v>2005 - 2022</v>
          </cell>
          <cell r="D633" t="str">
            <v>med_reg_gdp</v>
          </cell>
          <cell r="E633" t="str">
            <v>lfls1_S0_A0</v>
          </cell>
          <cell r="F633">
            <v>0.37110373377799988</v>
          </cell>
          <cell r="G633">
            <v>6</v>
          </cell>
        </row>
        <row r="634">
          <cell r="A634" t="str">
            <v>BGD</v>
          </cell>
          <cell r="B634" t="str">
            <v>Long</v>
          </cell>
          <cell r="C634" t="str">
            <v>2005 - 2022</v>
          </cell>
          <cell r="D634" t="str">
            <v>med_reg_gdp</v>
          </cell>
          <cell r="E634" t="str">
            <v>lfls1_S0_a1</v>
          </cell>
          <cell r="F634">
            <v>0.30331897735595703</v>
          </cell>
          <cell r="G634">
            <v>6</v>
          </cell>
        </row>
        <row r="635">
          <cell r="A635" t="str">
            <v>BGD</v>
          </cell>
          <cell r="B635" t="str">
            <v>Long</v>
          </cell>
          <cell r="C635" t="str">
            <v>2005 - 2022</v>
          </cell>
          <cell r="D635" t="str">
            <v>med_reg_gdp</v>
          </cell>
          <cell r="E635" t="str">
            <v>lfls1_S0_a2</v>
          </cell>
          <cell r="F635">
            <v>-2.2167589664459229</v>
          </cell>
          <cell r="G635">
            <v>6</v>
          </cell>
        </row>
        <row r="636">
          <cell r="A636" t="str">
            <v>BGD</v>
          </cell>
          <cell r="B636" t="str">
            <v>Long</v>
          </cell>
          <cell r="C636" t="str">
            <v>2005 - 2022</v>
          </cell>
          <cell r="D636" t="str">
            <v>med_reg_gdp</v>
          </cell>
          <cell r="E636" t="str">
            <v>lfls1_S0_a3</v>
          </cell>
          <cell r="F636">
            <v>5.4396262168884277</v>
          </cell>
          <cell r="G636">
            <v>6</v>
          </cell>
        </row>
        <row r="637">
          <cell r="A637" t="str">
            <v>BGD</v>
          </cell>
          <cell r="B637" t="str">
            <v>Long</v>
          </cell>
          <cell r="C637" t="str">
            <v>2005 - 2022</v>
          </cell>
          <cell r="D637" t="str">
            <v>med_reg_gdp</v>
          </cell>
          <cell r="E637" t="str">
            <v>lfls1_S0_a4</v>
          </cell>
          <cell r="F637">
            <v>-0.74328529834747314</v>
          </cell>
          <cell r="G637">
            <v>6</v>
          </cell>
        </row>
        <row r="638">
          <cell r="A638" t="str">
            <v>BGD</v>
          </cell>
          <cell r="B638" t="str">
            <v>Long</v>
          </cell>
          <cell r="C638" t="str">
            <v>2005 - 2022</v>
          </cell>
          <cell r="D638" t="str">
            <v>med_reg_gdp</v>
          </cell>
          <cell r="E638" t="str">
            <v>lfls1_S0_a5</v>
          </cell>
          <cell r="F638">
            <v>-6.5349586308002472E-2</v>
          </cell>
          <cell r="G638">
            <v>6</v>
          </cell>
        </row>
        <row r="639">
          <cell r="A639" t="str">
            <v>BGD</v>
          </cell>
          <cell r="B639" t="str">
            <v>Long</v>
          </cell>
          <cell r="C639" t="str">
            <v>2005 - 2022</v>
          </cell>
          <cell r="D639" t="str">
            <v>med_reg_gdp</v>
          </cell>
          <cell r="E639" t="str">
            <v>lfls1_S0_a6</v>
          </cell>
          <cell r="F639">
            <v>2.0691263675689697</v>
          </cell>
          <cell r="G639">
            <v>6</v>
          </cell>
        </row>
        <row r="640">
          <cell r="A640" t="str">
            <v>BGD</v>
          </cell>
          <cell r="B640" t="str">
            <v>Long</v>
          </cell>
          <cell r="C640" t="str">
            <v>2005 - 2022</v>
          </cell>
          <cell r="D640" t="str">
            <v>med_reg_gdp</v>
          </cell>
          <cell r="E640" t="str">
            <v>lfls1_s0_A0</v>
          </cell>
          <cell r="F640">
            <v>0.33947247266769409</v>
          </cell>
          <cell r="G640">
            <v>6</v>
          </cell>
        </row>
        <row r="641">
          <cell r="A641" t="str">
            <v>BGD</v>
          </cell>
          <cell r="B641" t="str">
            <v>Long</v>
          </cell>
          <cell r="C641" t="str">
            <v>2005 - 2022</v>
          </cell>
          <cell r="D641" t="str">
            <v>med_reg_gdp</v>
          </cell>
          <cell r="E641" t="str">
            <v>lfls1_s0_a1</v>
          </cell>
          <cell r="F641">
            <v>-5.8045792579650879</v>
          </cell>
          <cell r="G641">
            <v>6</v>
          </cell>
        </row>
        <row r="642">
          <cell r="A642" t="str">
            <v>BGD</v>
          </cell>
          <cell r="B642" t="str">
            <v>Long</v>
          </cell>
          <cell r="C642" t="str">
            <v>2005 - 2022</v>
          </cell>
          <cell r="D642" t="str">
            <v>med_reg_gdp</v>
          </cell>
          <cell r="E642" t="str">
            <v>lfls1_s0_a2</v>
          </cell>
          <cell r="F642">
            <v>-2.263603687286377</v>
          </cell>
          <cell r="G642">
            <v>6</v>
          </cell>
        </row>
        <row r="643">
          <cell r="A643" t="str">
            <v>BGD</v>
          </cell>
          <cell r="B643" t="str">
            <v>Long</v>
          </cell>
          <cell r="C643" t="str">
            <v>2005 - 2022</v>
          </cell>
          <cell r="D643" t="str">
            <v>med_reg_gdp</v>
          </cell>
          <cell r="E643" t="str">
            <v>lfls1_s0_a3</v>
          </cell>
          <cell r="F643">
            <v>4.4844756126403809</v>
          </cell>
          <cell r="G643">
            <v>6</v>
          </cell>
        </row>
        <row r="644">
          <cell r="A644" t="str">
            <v>BGD</v>
          </cell>
          <cell r="B644" t="str">
            <v>Long</v>
          </cell>
          <cell r="C644" t="str">
            <v>2005 - 2022</v>
          </cell>
          <cell r="D644" t="str">
            <v>med_reg_gdp</v>
          </cell>
          <cell r="E644" t="str">
            <v>lfls1_s0_a4</v>
          </cell>
          <cell r="F644">
            <v>-0.75398063659667969</v>
          </cell>
          <cell r="G644">
            <v>6</v>
          </cell>
        </row>
        <row r="645">
          <cell r="A645" t="str">
            <v>BGD</v>
          </cell>
          <cell r="B645" t="str">
            <v>Long</v>
          </cell>
          <cell r="C645" t="str">
            <v>2005 - 2022</v>
          </cell>
          <cell r="D645" t="str">
            <v>med_reg_gdp</v>
          </cell>
          <cell r="E645" t="str">
            <v>lfls1_s0_a5</v>
          </cell>
          <cell r="F645">
            <v>-1.7159037590026855</v>
          </cell>
          <cell r="G645">
            <v>6</v>
          </cell>
        </row>
        <row r="646">
          <cell r="A646" t="str">
            <v>BGD</v>
          </cell>
          <cell r="B646" t="str">
            <v>Long</v>
          </cell>
          <cell r="C646" t="str">
            <v>2005 - 2022</v>
          </cell>
          <cell r="D646" t="str">
            <v>med_reg_gdp</v>
          </cell>
          <cell r="E646" t="str">
            <v>lfls1_s0_a6</v>
          </cell>
          <cell r="F646">
            <v>1.0529283285140991</v>
          </cell>
          <cell r="G646">
            <v>6</v>
          </cell>
        </row>
        <row r="647">
          <cell r="A647" t="str">
            <v>BGD</v>
          </cell>
          <cell r="B647" t="str">
            <v>Long</v>
          </cell>
          <cell r="C647" t="str">
            <v>2005 - 2022</v>
          </cell>
          <cell r="D647" t="str">
            <v>med_reg_gdp</v>
          </cell>
          <cell r="E647" t="str">
            <v>lfls1_s1_A0</v>
          </cell>
          <cell r="F647">
            <v>0.44557538628578186</v>
          </cell>
          <cell r="G647">
            <v>6</v>
          </cell>
        </row>
        <row r="648">
          <cell r="A648" t="str">
            <v>BGD</v>
          </cell>
          <cell r="B648" t="str">
            <v>Long</v>
          </cell>
          <cell r="C648" t="str">
            <v>2005 - 2022</v>
          </cell>
          <cell r="D648" t="str">
            <v>med_reg_gdp</v>
          </cell>
          <cell r="E648" t="str">
            <v>lfls1_s1_a1</v>
          </cell>
          <cell r="F648">
            <v>2.8679497241973877</v>
          </cell>
          <cell r="G648">
            <v>6</v>
          </cell>
        </row>
        <row r="649">
          <cell r="A649" t="str">
            <v>BGD</v>
          </cell>
          <cell r="B649" t="str">
            <v>Long</v>
          </cell>
          <cell r="C649" t="str">
            <v>2005 - 2022</v>
          </cell>
          <cell r="D649" t="str">
            <v>med_reg_gdp</v>
          </cell>
          <cell r="E649" t="str">
            <v>lfls1_s1_a2</v>
          </cell>
          <cell r="F649">
            <v>-1.3141896724700928</v>
          </cell>
          <cell r="G649">
            <v>6</v>
          </cell>
        </row>
        <row r="650">
          <cell r="A650" t="str">
            <v>BGD</v>
          </cell>
          <cell r="B650" t="str">
            <v>Long</v>
          </cell>
          <cell r="C650" t="str">
            <v>2005 - 2022</v>
          </cell>
          <cell r="D650" t="str">
            <v>med_reg_gdp</v>
          </cell>
          <cell r="E650" t="str">
            <v>lfls1_s1_a3</v>
          </cell>
          <cell r="F650">
            <v>19.342926025390625</v>
          </cell>
          <cell r="G650">
            <v>6</v>
          </cell>
        </row>
        <row r="651">
          <cell r="A651" t="str">
            <v>BGD</v>
          </cell>
          <cell r="B651" t="str">
            <v>Long</v>
          </cell>
          <cell r="C651" t="str">
            <v>2005 - 2022</v>
          </cell>
          <cell r="D651" t="str">
            <v>med_reg_gdp</v>
          </cell>
          <cell r="E651" t="str">
            <v>lfls1_s1_a4</v>
          </cell>
          <cell r="F651">
            <v>1.8967077732086182</v>
          </cell>
          <cell r="G651">
            <v>6</v>
          </cell>
        </row>
        <row r="652">
          <cell r="A652" t="str">
            <v>BGD</v>
          </cell>
          <cell r="B652" t="str">
            <v>Long</v>
          </cell>
          <cell r="C652" t="str">
            <v>2005 - 2022</v>
          </cell>
          <cell r="D652" t="str">
            <v>med_reg_gdp</v>
          </cell>
          <cell r="E652" t="str">
            <v>lfls1_s1_a5</v>
          </cell>
          <cell r="F652">
            <v>2.1428153514862061</v>
          </cell>
          <cell r="G652">
            <v>6</v>
          </cell>
        </row>
        <row r="653">
          <cell r="A653" t="str">
            <v>BGD</v>
          </cell>
          <cell r="B653" t="str">
            <v>Long</v>
          </cell>
          <cell r="C653" t="str">
            <v>2005 - 2022</v>
          </cell>
          <cell r="D653" t="str">
            <v>med_reg_gdp</v>
          </cell>
          <cell r="E653" t="str">
            <v>lfls1_s1_a6</v>
          </cell>
          <cell r="F653">
            <v>1.0495284795761108</v>
          </cell>
          <cell r="G653">
            <v>6</v>
          </cell>
        </row>
        <row r="654">
          <cell r="A654" t="str">
            <v>BGD</v>
          </cell>
          <cell r="B654" t="str">
            <v>Long</v>
          </cell>
          <cell r="C654" t="str">
            <v>2005 - 2022</v>
          </cell>
          <cell r="D654" t="str">
            <v>med_reg_gdp</v>
          </cell>
          <cell r="E654" t="str">
            <v>lfprod_s0_a1</v>
          </cell>
          <cell r="F654">
            <v>-6.8045792579650879</v>
          </cell>
          <cell r="G654">
            <v>6</v>
          </cell>
        </row>
        <row r="655">
          <cell r="A655" t="str">
            <v>BGD</v>
          </cell>
          <cell r="B655" t="str">
            <v>Long</v>
          </cell>
          <cell r="C655" t="str">
            <v>2005 - 2022</v>
          </cell>
          <cell r="D655" t="str">
            <v>med_reg_gdp</v>
          </cell>
          <cell r="E655" t="str">
            <v>lfprod_s0_a2</v>
          </cell>
          <cell r="F655">
            <v>-3.263603687286377</v>
          </cell>
          <cell r="G655">
            <v>6</v>
          </cell>
        </row>
        <row r="656">
          <cell r="A656" t="str">
            <v>BGD</v>
          </cell>
          <cell r="B656" t="str">
            <v>Long</v>
          </cell>
          <cell r="C656" t="str">
            <v>2005 - 2022</v>
          </cell>
          <cell r="D656" t="str">
            <v>med_reg_gdp</v>
          </cell>
          <cell r="E656" t="str">
            <v>lfprod_s0_a3</v>
          </cell>
          <cell r="F656">
            <v>3.4844756126403809</v>
          </cell>
          <cell r="G656">
            <v>6</v>
          </cell>
        </row>
        <row r="657">
          <cell r="A657" t="str">
            <v>BGD</v>
          </cell>
          <cell r="B657" t="str">
            <v>Long</v>
          </cell>
          <cell r="C657" t="str">
            <v>2005 - 2022</v>
          </cell>
          <cell r="D657" t="str">
            <v>med_reg_gdp</v>
          </cell>
          <cell r="E657" t="str">
            <v>lfprod_s0_a4</v>
          </cell>
          <cell r="F657">
            <v>-1.7539806365966797</v>
          </cell>
          <cell r="G657">
            <v>6</v>
          </cell>
        </row>
        <row r="658">
          <cell r="A658" t="str">
            <v>BGD</v>
          </cell>
          <cell r="B658" t="str">
            <v>Long</v>
          </cell>
          <cell r="C658" t="str">
            <v>2005 - 2022</v>
          </cell>
          <cell r="D658" t="str">
            <v>med_reg_gdp</v>
          </cell>
          <cell r="E658" t="str">
            <v>lfprod_s0_a5</v>
          </cell>
          <cell r="F658">
            <v>-2.7159037590026855</v>
          </cell>
          <cell r="G658">
            <v>6</v>
          </cell>
        </row>
        <row r="659">
          <cell r="A659" t="str">
            <v>BGD</v>
          </cell>
          <cell r="B659" t="str">
            <v>Long</v>
          </cell>
          <cell r="C659" t="str">
            <v>2005 - 2022</v>
          </cell>
          <cell r="D659" t="str">
            <v>med_reg_gdp</v>
          </cell>
          <cell r="E659" t="str">
            <v>lfprod_s0_a6</v>
          </cell>
          <cell r="F659">
            <v>5.2928358316421509E-2</v>
          </cell>
          <cell r="G659">
            <v>6</v>
          </cell>
        </row>
        <row r="660">
          <cell r="A660" t="str">
            <v>BGD</v>
          </cell>
          <cell r="B660" t="str">
            <v>Long</v>
          </cell>
          <cell r="C660" t="str">
            <v>2005 - 2022</v>
          </cell>
          <cell r="D660" t="str">
            <v>med_reg_gdp</v>
          </cell>
          <cell r="E660" t="str">
            <v>lfprod_s1_a1</v>
          </cell>
          <cell r="F660">
            <v>1.8679498434066772</v>
          </cell>
          <cell r="G660">
            <v>6</v>
          </cell>
        </row>
        <row r="661">
          <cell r="A661" t="str">
            <v>BGD</v>
          </cell>
          <cell r="B661" t="str">
            <v>Long</v>
          </cell>
          <cell r="C661" t="str">
            <v>2005 - 2022</v>
          </cell>
          <cell r="D661" t="str">
            <v>med_reg_gdp</v>
          </cell>
          <cell r="E661" t="str">
            <v>lfprod_s1_a2</v>
          </cell>
          <cell r="F661">
            <v>-2.3141896724700928</v>
          </cell>
          <cell r="G661">
            <v>6</v>
          </cell>
        </row>
        <row r="662">
          <cell r="A662" t="str">
            <v>BGD</v>
          </cell>
          <cell r="B662" t="str">
            <v>Long</v>
          </cell>
          <cell r="C662" t="str">
            <v>2005 - 2022</v>
          </cell>
          <cell r="D662" t="str">
            <v>med_reg_gdp</v>
          </cell>
          <cell r="E662" t="str">
            <v>lfprod_s1_a3</v>
          </cell>
          <cell r="F662">
            <v>18.342926025390625</v>
          </cell>
          <cell r="G662">
            <v>6</v>
          </cell>
        </row>
        <row r="663">
          <cell r="A663" t="str">
            <v>BGD</v>
          </cell>
          <cell r="B663" t="str">
            <v>Long</v>
          </cell>
          <cell r="C663" t="str">
            <v>2005 - 2022</v>
          </cell>
          <cell r="D663" t="str">
            <v>med_reg_gdp</v>
          </cell>
          <cell r="E663" t="str">
            <v>lfprod_s1_a4</v>
          </cell>
          <cell r="F663">
            <v>0.89670777320861816</v>
          </cell>
          <cell r="G663">
            <v>6</v>
          </cell>
        </row>
        <row r="664">
          <cell r="A664" t="str">
            <v>BGD</v>
          </cell>
          <cell r="B664" t="str">
            <v>Long</v>
          </cell>
          <cell r="C664" t="str">
            <v>2005 - 2022</v>
          </cell>
          <cell r="D664" t="str">
            <v>med_reg_gdp</v>
          </cell>
          <cell r="E664" t="str">
            <v>lfprod_s1_a5</v>
          </cell>
          <cell r="F664">
            <v>1.1428153514862061</v>
          </cell>
          <cell r="G664">
            <v>6</v>
          </cell>
        </row>
        <row r="665">
          <cell r="A665" t="str">
            <v>BGD</v>
          </cell>
          <cell r="B665" t="str">
            <v>Long</v>
          </cell>
          <cell r="C665" t="str">
            <v>2005 - 2022</v>
          </cell>
          <cell r="D665" t="str">
            <v>med_reg_gdp</v>
          </cell>
          <cell r="E665" t="str">
            <v>lfprod_s1_a6</v>
          </cell>
          <cell r="F665">
            <v>4.9528468400239944E-2</v>
          </cell>
          <cell r="G665">
            <v>6</v>
          </cell>
        </row>
        <row r="666">
          <cell r="A666" t="str">
            <v>BGD</v>
          </cell>
          <cell r="B666" t="str">
            <v>Long</v>
          </cell>
          <cell r="C666" t="str">
            <v>2005 - 2022</v>
          </cell>
          <cell r="D666" t="str">
            <v>med_reg_iter</v>
          </cell>
          <cell r="E666" t="str">
            <v>lfls12_S0_A0</v>
          </cell>
          <cell r="F666">
            <v>0.359465092420578</v>
          </cell>
          <cell r="G666">
            <v>6</v>
          </cell>
        </row>
        <row r="667">
          <cell r="A667" t="str">
            <v>BGD</v>
          </cell>
          <cell r="B667" t="str">
            <v>Long</v>
          </cell>
          <cell r="C667" t="str">
            <v>2005 - 2022</v>
          </cell>
          <cell r="D667" t="str">
            <v>med_reg_iter</v>
          </cell>
          <cell r="E667" t="str">
            <v>lfls1_S0_A0</v>
          </cell>
          <cell r="F667">
            <v>0.37110373377799988</v>
          </cell>
          <cell r="G667">
            <v>6</v>
          </cell>
        </row>
        <row r="668">
          <cell r="A668" t="str">
            <v>BGD</v>
          </cell>
          <cell r="B668" t="str">
            <v>Long</v>
          </cell>
          <cell r="C668" t="str">
            <v>2005 - 2022</v>
          </cell>
          <cell r="D668" t="str">
            <v>med_reg_iter</v>
          </cell>
          <cell r="E668" t="str">
            <v>lfls1_S0_a1</v>
          </cell>
          <cell r="F668">
            <v>0.30331897735595703</v>
          </cell>
          <cell r="G668">
            <v>6</v>
          </cell>
        </row>
        <row r="669">
          <cell r="A669" t="str">
            <v>BGD</v>
          </cell>
          <cell r="B669" t="str">
            <v>Long</v>
          </cell>
          <cell r="C669" t="str">
            <v>2005 - 2022</v>
          </cell>
          <cell r="D669" t="str">
            <v>med_reg_iter</v>
          </cell>
          <cell r="E669" t="str">
            <v>lfls1_S0_a2</v>
          </cell>
          <cell r="F669">
            <v>-2.2167589664459229</v>
          </cell>
          <cell r="G669">
            <v>6</v>
          </cell>
        </row>
        <row r="670">
          <cell r="A670" t="str">
            <v>BGD</v>
          </cell>
          <cell r="B670" t="str">
            <v>Long</v>
          </cell>
          <cell r="C670" t="str">
            <v>2005 - 2022</v>
          </cell>
          <cell r="D670" t="str">
            <v>med_reg_iter</v>
          </cell>
          <cell r="E670" t="str">
            <v>lfls1_S0_a3</v>
          </cell>
          <cell r="F670">
            <v>5.4396262168884277</v>
          </cell>
          <cell r="G670">
            <v>6</v>
          </cell>
        </row>
        <row r="671">
          <cell r="A671" t="str">
            <v>BGD</v>
          </cell>
          <cell r="B671" t="str">
            <v>Long</v>
          </cell>
          <cell r="C671" t="str">
            <v>2005 - 2022</v>
          </cell>
          <cell r="D671" t="str">
            <v>med_reg_iter</v>
          </cell>
          <cell r="E671" t="str">
            <v>lfls1_S0_a4</v>
          </cell>
          <cell r="F671">
            <v>-0.74328529834747314</v>
          </cell>
          <cell r="G671">
            <v>6</v>
          </cell>
        </row>
        <row r="672">
          <cell r="A672" t="str">
            <v>BGD</v>
          </cell>
          <cell r="B672" t="str">
            <v>Long</v>
          </cell>
          <cell r="C672" t="str">
            <v>2005 - 2022</v>
          </cell>
          <cell r="D672" t="str">
            <v>med_reg_iter</v>
          </cell>
          <cell r="E672" t="str">
            <v>lfls1_S0_a5</v>
          </cell>
          <cell r="F672">
            <v>-6.5349586308002472E-2</v>
          </cell>
          <cell r="G672">
            <v>6</v>
          </cell>
        </row>
        <row r="673">
          <cell r="A673" t="str">
            <v>BGD</v>
          </cell>
          <cell r="B673" t="str">
            <v>Long</v>
          </cell>
          <cell r="C673" t="str">
            <v>2005 - 2022</v>
          </cell>
          <cell r="D673" t="str">
            <v>med_reg_iter</v>
          </cell>
          <cell r="E673" t="str">
            <v>lfls1_S0_a6</v>
          </cell>
          <cell r="F673">
            <v>2.0691263675689697</v>
          </cell>
          <cell r="G673">
            <v>6</v>
          </cell>
        </row>
        <row r="674">
          <cell r="A674" t="str">
            <v>BGD</v>
          </cell>
          <cell r="B674" t="str">
            <v>Long</v>
          </cell>
          <cell r="C674" t="str">
            <v>2005 - 2022</v>
          </cell>
          <cell r="D674" t="str">
            <v>med_reg_iter</v>
          </cell>
          <cell r="E674" t="str">
            <v>lfls1_s0_A0</v>
          </cell>
          <cell r="F674">
            <v>0.33947247266769409</v>
          </cell>
          <cell r="G674">
            <v>6</v>
          </cell>
        </row>
        <row r="675">
          <cell r="A675" t="str">
            <v>BGD</v>
          </cell>
          <cell r="B675" t="str">
            <v>Long</v>
          </cell>
          <cell r="C675" t="str">
            <v>2005 - 2022</v>
          </cell>
          <cell r="D675" t="str">
            <v>med_reg_iter</v>
          </cell>
          <cell r="E675" t="str">
            <v>lfls1_s0_a1</v>
          </cell>
          <cell r="F675">
            <v>-5.8045792579650879</v>
          </cell>
          <cell r="G675">
            <v>6</v>
          </cell>
        </row>
        <row r="676">
          <cell r="A676" t="str">
            <v>BGD</v>
          </cell>
          <cell r="B676" t="str">
            <v>Long</v>
          </cell>
          <cell r="C676" t="str">
            <v>2005 - 2022</v>
          </cell>
          <cell r="D676" t="str">
            <v>med_reg_iter</v>
          </cell>
          <cell r="E676" t="str">
            <v>lfls1_s0_a2</v>
          </cell>
          <cell r="F676">
            <v>-2.263603687286377</v>
          </cell>
          <cell r="G676">
            <v>6</v>
          </cell>
        </row>
        <row r="677">
          <cell r="A677" t="str">
            <v>BGD</v>
          </cell>
          <cell r="B677" t="str">
            <v>Long</v>
          </cell>
          <cell r="C677" t="str">
            <v>2005 - 2022</v>
          </cell>
          <cell r="D677" t="str">
            <v>med_reg_iter</v>
          </cell>
          <cell r="E677" t="str">
            <v>lfls1_s0_a3</v>
          </cell>
          <cell r="F677">
            <v>4.4844756126403809</v>
          </cell>
          <cell r="G677">
            <v>6</v>
          </cell>
        </row>
        <row r="678">
          <cell r="A678" t="str">
            <v>BGD</v>
          </cell>
          <cell r="B678" t="str">
            <v>Long</v>
          </cell>
          <cell r="C678" t="str">
            <v>2005 - 2022</v>
          </cell>
          <cell r="D678" t="str">
            <v>med_reg_iter</v>
          </cell>
          <cell r="E678" t="str">
            <v>lfls1_s0_a4</v>
          </cell>
          <cell r="F678">
            <v>-0.75398063659667969</v>
          </cell>
          <cell r="G678">
            <v>6</v>
          </cell>
        </row>
        <row r="679">
          <cell r="A679" t="str">
            <v>BGD</v>
          </cell>
          <cell r="B679" t="str">
            <v>Long</v>
          </cell>
          <cell r="C679" t="str">
            <v>2005 - 2022</v>
          </cell>
          <cell r="D679" t="str">
            <v>med_reg_iter</v>
          </cell>
          <cell r="E679" t="str">
            <v>lfls1_s0_a5</v>
          </cell>
          <cell r="F679">
            <v>-1.7159037590026855</v>
          </cell>
          <cell r="G679">
            <v>6</v>
          </cell>
        </row>
        <row r="680">
          <cell r="A680" t="str">
            <v>BGD</v>
          </cell>
          <cell r="B680" t="str">
            <v>Long</v>
          </cell>
          <cell r="C680" t="str">
            <v>2005 - 2022</v>
          </cell>
          <cell r="D680" t="str">
            <v>med_reg_iter</v>
          </cell>
          <cell r="E680" t="str">
            <v>lfls1_s0_a6</v>
          </cell>
          <cell r="F680">
            <v>1.0529283285140991</v>
          </cell>
          <cell r="G680">
            <v>6</v>
          </cell>
        </row>
        <row r="681">
          <cell r="A681" t="str">
            <v>BGD</v>
          </cell>
          <cell r="B681" t="str">
            <v>Long</v>
          </cell>
          <cell r="C681" t="str">
            <v>2005 - 2022</v>
          </cell>
          <cell r="D681" t="str">
            <v>med_reg_iter</v>
          </cell>
          <cell r="E681" t="str">
            <v>lfls1_s1_A0</v>
          </cell>
          <cell r="F681">
            <v>0.44557538628578186</v>
          </cell>
          <cell r="G681">
            <v>6</v>
          </cell>
        </row>
        <row r="682">
          <cell r="A682" t="str">
            <v>BGD</v>
          </cell>
          <cell r="B682" t="str">
            <v>Long</v>
          </cell>
          <cell r="C682" t="str">
            <v>2005 - 2022</v>
          </cell>
          <cell r="D682" t="str">
            <v>med_reg_iter</v>
          </cell>
          <cell r="E682" t="str">
            <v>lfls1_s1_a1</v>
          </cell>
          <cell r="F682">
            <v>2.8679497241973877</v>
          </cell>
          <cell r="G682">
            <v>6</v>
          </cell>
        </row>
        <row r="683">
          <cell r="A683" t="str">
            <v>BGD</v>
          </cell>
          <cell r="B683" t="str">
            <v>Long</v>
          </cell>
          <cell r="C683" t="str">
            <v>2005 - 2022</v>
          </cell>
          <cell r="D683" t="str">
            <v>med_reg_iter</v>
          </cell>
          <cell r="E683" t="str">
            <v>lfls1_s1_a2</v>
          </cell>
          <cell r="F683">
            <v>-1.3141896724700928</v>
          </cell>
          <cell r="G683">
            <v>6</v>
          </cell>
        </row>
        <row r="684">
          <cell r="A684" t="str">
            <v>BGD</v>
          </cell>
          <cell r="B684" t="str">
            <v>Long</v>
          </cell>
          <cell r="C684" t="str">
            <v>2005 - 2022</v>
          </cell>
          <cell r="D684" t="str">
            <v>med_reg_iter</v>
          </cell>
          <cell r="E684" t="str">
            <v>lfls1_s1_a3</v>
          </cell>
          <cell r="F684">
            <v>19.342926025390625</v>
          </cell>
          <cell r="G684">
            <v>6</v>
          </cell>
        </row>
        <row r="685">
          <cell r="A685" t="str">
            <v>BGD</v>
          </cell>
          <cell r="B685" t="str">
            <v>Long</v>
          </cell>
          <cell r="C685" t="str">
            <v>2005 - 2022</v>
          </cell>
          <cell r="D685" t="str">
            <v>med_reg_iter</v>
          </cell>
          <cell r="E685" t="str">
            <v>lfls1_s1_a4</v>
          </cell>
          <cell r="F685">
            <v>1.8967077732086182</v>
          </cell>
          <cell r="G685">
            <v>6</v>
          </cell>
        </row>
        <row r="686">
          <cell r="A686" t="str">
            <v>BGD</v>
          </cell>
          <cell r="B686" t="str">
            <v>Long</v>
          </cell>
          <cell r="C686" t="str">
            <v>2005 - 2022</v>
          </cell>
          <cell r="D686" t="str">
            <v>med_reg_iter</v>
          </cell>
          <cell r="E686" t="str">
            <v>lfls1_s1_a5</v>
          </cell>
          <cell r="F686">
            <v>2.1428153514862061</v>
          </cell>
          <cell r="G686">
            <v>6</v>
          </cell>
        </row>
        <row r="687">
          <cell r="A687" t="str">
            <v>BGD</v>
          </cell>
          <cell r="B687" t="str">
            <v>Long</v>
          </cell>
          <cell r="C687" t="str">
            <v>2005 - 2022</v>
          </cell>
          <cell r="D687" t="str">
            <v>med_reg_iter</v>
          </cell>
          <cell r="E687" t="str">
            <v>lfls1_s1_a6</v>
          </cell>
          <cell r="F687">
            <v>1.0495284795761108</v>
          </cell>
          <cell r="G687">
            <v>6</v>
          </cell>
        </row>
        <row r="688">
          <cell r="A688" t="str">
            <v>BGD</v>
          </cell>
          <cell r="B688" t="str">
            <v>Long</v>
          </cell>
          <cell r="C688" t="str">
            <v>2005 - 2022</v>
          </cell>
          <cell r="D688" t="str">
            <v>med_reg_iter</v>
          </cell>
          <cell r="E688" t="str">
            <v>lfprod_s0_a1</v>
          </cell>
          <cell r="F688">
            <v>-6.8045792579650879</v>
          </cell>
          <cell r="G688">
            <v>6</v>
          </cell>
        </row>
        <row r="689">
          <cell r="A689" t="str">
            <v>BGD</v>
          </cell>
          <cell r="B689" t="str">
            <v>Long</v>
          </cell>
          <cell r="C689" t="str">
            <v>2005 - 2022</v>
          </cell>
          <cell r="D689" t="str">
            <v>med_reg_iter</v>
          </cell>
          <cell r="E689" t="str">
            <v>lfprod_s0_a2</v>
          </cell>
          <cell r="F689">
            <v>-3.263603687286377</v>
          </cell>
          <cell r="G689">
            <v>6</v>
          </cell>
        </row>
        <row r="690">
          <cell r="A690" t="str">
            <v>BGD</v>
          </cell>
          <cell r="B690" t="str">
            <v>Long</v>
          </cell>
          <cell r="C690" t="str">
            <v>2005 - 2022</v>
          </cell>
          <cell r="D690" t="str">
            <v>med_reg_iter</v>
          </cell>
          <cell r="E690" t="str">
            <v>lfprod_s0_a3</v>
          </cell>
          <cell r="F690">
            <v>3.4844756126403809</v>
          </cell>
          <cell r="G690">
            <v>6</v>
          </cell>
        </row>
        <row r="691">
          <cell r="A691" t="str">
            <v>BGD</v>
          </cell>
          <cell r="B691" t="str">
            <v>Long</v>
          </cell>
          <cell r="C691" t="str">
            <v>2005 - 2022</v>
          </cell>
          <cell r="D691" t="str">
            <v>med_reg_iter</v>
          </cell>
          <cell r="E691" t="str">
            <v>lfprod_s0_a4</v>
          </cell>
          <cell r="F691">
            <v>-1.7539806365966797</v>
          </cell>
          <cell r="G691">
            <v>6</v>
          </cell>
        </row>
        <row r="692">
          <cell r="A692" t="str">
            <v>BGD</v>
          </cell>
          <cell r="B692" t="str">
            <v>Long</v>
          </cell>
          <cell r="C692" t="str">
            <v>2005 - 2022</v>
          </cell>
          <cell r="D692" t="str">
            <v>med_reg_iter</v>
          </cell>
          <cell r="E692" t="str">
            <v>lfprod_s0_a5</v>
          </cell>
          <cell r="F692">
            <v>-2.7159037590026855</v>
          </cell>
          <cell r="G692">
            <v>6</v>
          </cell>
        </row>
        <row r="693">
          <cell r="A693" t="str">
            <v>BGD</v>
          </cell>
          <cell r="B693" t="str">
            <v>Long</v>
          </cell>
          <cell r="C693" t="str">
            <v>2005 - 2022</v>
          </cell>
          <cell r="D693" t="str">
            <v>med_reg_iter</v>
          </cell>
          <cell r="E693" t="str">
            <v>lfprod_s0_a6</v>
          </cell>
          <cell r="F693">
            <v>5.2928358316421509E-2</v>
          </cell>
          <cell r="G693">
            <v>6</v>
          </cell>
        </row>
        <row r="694">
          <cell r="A694" t="str">
            <v>BGD</v>
          </cell>
          <cell r="B694" t="str">
            <v>Long</v>
          </cell>
          <cell r="C694" t="str">
            <v>2005 - 2022</v>
          </cell>
          <cell r="D694" t="str">
            <v>med_reg_iter</v>
          </cell>
          <cell r="E694" t="str">
            <v>lfprod_s1_a1</v>
          </cell>
          <cell r="F694">
            <v>1.8679498434066772</v>
          </cell>
          <cell r="G694">
            <v>6</v>
          </cell>
        </row>
        <row r="695">
          <cell r="A695" t="str">
            <v>BGD</v>
          </cell>
          <cell r="B695" t="str">
            <v>Long</v>
          </cell>
          <cell r="C695" t="str">
            <v>2005 - 2022</v>
          </cell>
          <cell r="D695" t="str">
            <v>med_reg_iter</v>
          </cell>
          <cell r="E695" t="str">
            <v>lfprod_s1_a2</v>
          </cell>
          <cell r="F695">
            <v>-2.3141896724700928</v>
          </cell>
          <cell r="G695">
            <v>6</v>
          </cell>
        </row>
        <row r="696">
          <cell r="A696" t="str">
            <v>BGD</v>
          </cell>
          <cell r="B696" t="str">
            <v>Long</v>
          </cell>
          <cell r="C696" t="str">
            <v>2005 - 2022</v>
          </cell>
          <cell r="D696" t="str">
            <v>med_reg_iter</v>
          </cell>
          <cell r="E696" t="str">
            <v>lfprod_s1_a3</v>
          </cell>
          <cell r="F696">
            <v>18.342926025390625</v>
          </cell>
          <cell r="G696">
            <v>6</v>
          </cell>
        </row>
        <row r="697">
          <cell r="A697" t="str">
            <v>BGD</v>
          </cell>
          <cell r="B697" t="str">
            <v>Long</v>
          </cell>
          <cell r="C697" t="str">
            <v>2005 - 2022</v>
          </cell>
          <cell r="D697" t="str">
            <v>med_reg_iter</v>
          </cell>
          <cell r="E697" t="str">
            <v>lfprod_s1_a4</v>
          </cell>
          <cell r="F697">
            <v>0.89670777320861816</v>
          </cell>
          <cell r="G697">
            <v>6</v>
          </cell>
        </row>
        <row r="698">
          <cell r="A698" t="str">
            <v>BGD</v>
          </cell>
          <cell r="B698" t="str">
            <v>Long</v>
          </cell>
          <cell r="C698" t="str">
            <v>2005 - 2022</v>
          </cell>
          <cell r="D698" t="str">
            <v>med_reg_iter</v>
          </cell>
          <cell r="E698" t="str">
            <v>lfprod_s1_a5</v>
          </cell>
          <cell r="F698">
            <v>1.1428153514862061</v>
          </cell>
          <cell r="G698">
            <v>6</v>
          </cell>
        </row>
        <row r="699">
          <cell r="A699" t="str">
            <v>BGD</v>
          </cell>
          <cell r="B699" t="str">
            <v>Long</v>
          </cell>
          <cell r="C699" t="str">
            <v>2005 - 2022</v>
          </cell>
          <cell r="D699" t="str">
            <v>med_reg_iter</v>
          </cell>
          <cell r="E699" t="str">
            <v>lfprod_s1_a6</v>
          </cell>
          <cell r="F699">
            <v>4.9528468400239944E-2</v>
          </cell>
          <cell r="G699">
            <v>6</v>
          </cell>
        </row>
        <row r="700">
          <cell r="A700" t="str">
            <v>BGD</v>
          </cell>
          <cell r="B700" t="str">
            <v>Long</v>
          </cell>
          <cell r="C700" t="str">
            <v>2005 - 2022</v>
          </cell>
          <cell r="D700" t="str">
            <v>reg</v>
          </cell>
          <cell r="E700" t="str">
            <v>lfls12_S0_A0</v>
          </cell>
          <cell r="F700">
            <v>0.36932170391082764</v>
          </cell>
          <cell r="G700">
            <v>6</v>
          </cell>
        </row>
        <row r="701">
          <cell r="A701" t="str">
            <v>BGD</v>
          </cell>
          <cell r="B701" t="str">
            <v>Long</v>
          </cell>
          <cell r="C701" t="str">
            <v>2005 - 2022</v>
          </cell>
          <cell r="D701" t="str">
            <v>reg</v>
          </cell>
          <cell r="E701" t="str">
            <v>lfls1_S0_A0</v>
          </cell>
          <cell r="F701">
            <v>0.37071043252944946</v>
          </cell>
          <cell r="G701">
            <v>6</v>
          </cell>
        </row>
        <row r="702">
          <cell r="A702" t="str">
            <v>BGD</v>
          </cell>
          <cell r="B702" t="str">
            <v>Long</v>
          </cell>
          <cell r="C702" t="str">
            <v>2005 - 2022</v>
          </cell>
          <cell r="D702" t="str">
            <v>reg</v>
          </cell>
          <cell r="E702" t="str">
            <v>lfls1_S0_a1</v>
          </cell>
          <cell r="F702">
            <v>0.36577045917510986</v>
          </cell>
          <cell r="G702">
            <v>6</v>
          </cell>
        </row>
        <row r="703">
          <cell r="A703" t="str">
            <v>BGD</v>
          </cell>
          <cell r="B703" t="str">
            <v>Long</v>
          </cell>
          <cell r="C703" t="str">
            <v>2005 - 2022</v>
          </cell>
          <cell r="D703" t="str">
            <v>reg</v>
          </cell>
          <cell r="E703" t="str">
            <v>lfls1_S0_a2</v>
          </cell>
          <cell r="F703">
            <v>0.60670214891433716</v>
          </cell>
          <cell r="G703">
            <v>6</v>
          </cell>
        </row>
        <row r="704">
          <cell r="A704" t="str">
            <v>BGD</v>
          </cell>
          <cell r="B704" t="str">
            <v>Long</v>
          </cell>
          <cell r="C704" t="str">
            <v>2005 - 2022</v>
          </cell>
          <cell r="D704" t="str">
            <v>reg</v>
          </cell>
          <cell r="E704" t="str">
            <v>lfls1_S0_a3</v>
          </cell>
          <cell r="F704">
            <v>0.30071491003036499</v>
          </cell>
          <cell r="G704">
            <v>6</v>
          </cell>
        </row>
        <row r="705">
          <cell r="A705" t="str">
            <v>BGD</v>
          </cell>
          <cell r="B705" t="str">
            <v>Long</v>
          </cell>
          <cell r="C705" t="str">
            <v>2005 - 2022</v>
          </cell>
          <cell r="D705" t="str">
            <v>reg</v>
          </cell>
          <cell r="E705" t="str">
            <v>lfls1_S0_a4</v>
          </cell>
          <cell r="F705">
            <v>0.39424479007720947</v>
          </cell>
          <cell r="G705">
            <v>6</v>
          </cell>
        </row>
        <row r="706">
          <cell r="A706" t="str">
            <v>BGD</v>
          </cell>
          <cell r="B706" t="str">
            <v>Long</v>
          </cell>
          <cell r="C706" t="str">
            <v>2005 - 2022</v>
          </cell>
          <cell r="D706" t="str">
            <v>reg</v>
          </cell>
          <cell r="E706" t="str">
            <v>lfls1_S0_a5</v>
          </cell>
          <cell r="F706">
            <v>0.55223160982131958</v>
          </cell>
          <cell r="G706">
            <v>6</v>
          </cell>
        </row>
        <row r="707">
          <cell r="A707" t="str">
            <v>BGD</v>
          </cell>
          <cell r="B707" t="str">
            <v>Long</v>
          </cell>
          <cell r="C707" t="str">
            <v>2005 - 2022</v>
          </cell>
          <cell r="D707" t="str">
            <v>reg</v>
          </cell>
          <cell r="E707" t="str">
            <v>lfls1_S0_a6</v>
          </cell>
          <cell r="F707">
            <v>0.54514080286026001</v>
          </cell>
          <cell r="G707">
            <v>6</v>
          </cell>
        </row>
        <row r="708">
          <cell r="A708" t="str">
            <v>BGD</v>
          </cell>
          <cell r="B708" t="str">
            <v>Long</v>
          </cell>
          <cell r="C708" t="str">
            <v>2005 - 2022</v>
          </cell>
          <cell r="D708" t="str">
            <v>reg</v>
          </cell>
          <cell r="E708" t="str">
            <v>lfls1_s0_A0</v>
          </cell>
          <cell r="F708">
            <v>0.36951625347137451</v>
          </cell>
          <cell r="G708">
            <v>6</v>
          </cell>
        </row>
        <row r="709">
          <cell r="A709" t="str">
            <v>BGD</v>
          </cell>
          <cell r="B709" t="str">
            <v>Long</v>
          </cell>
          <cell r="C709" t="str">
            <v>2005 - 2022</v>
          </cell>
          <cell r="D709" t="str">
            <v>reg</v>
          </cell>
          <cell r="E709" t="str">
            <v>lfls1_s0_a1</v>
          </cell>
          <cell r="F709">
            <v>0.47505542635917664</v>
          </cell>
          <cell r="G709">
            <v>6</v>
          </cell>
        </row>
        <row r="710">
          <cell r="A710" t="str">
            <v>BGD</v>
          </cell>
          <cell r="B710" t="str">
            <v>Long</v>
          </cell>
          <cell r="C710" t="str">
            <v>2005 - 2022</v>
          </cell>
          <cell r="D710" t="str">
            <v>reg</v>
          </cell>
          <cell r="E710" t="str">
            <v>lfls1_s0_a2</v>
          </cell>
          <cell r="F710">
            <v>0.60331284999847412</v>
          </cell>
          <cell r="G710">
            <v>6</v>
          </cell>
        </row>
        <row r="711">
          <cell r="A711" t="str">
            <v>BGD</v>
          </cell>
          <cell r="B711" t="str">
            <v>Long</v>
          </cell>
          <cell r="C711" t="str">
            <v>2005 - 2022</v>
          </cell>
          <cell r="D711" t="str">
            <v>reg</v>
          </cell>
          <cell r="E711" t="str">
            <v>lfls1_s0_a3</v>
          </cell>
          <cell r="F711">
            <v>0.26240178942680359</v>
          </cell>
          <cell r="G711">
            <v>6</v>
          </cell>
        </row>
        <row r="712">
          <cell r="A712" t="str">
            <v>BGD</v>
          </cell>
          <cell r="B712" t="str">
            <v>Long</v>
          </cell>
          <cell r="C712" t="str">
            <v>2005 - 2022</v>
          </cell>
          <cell r="D712" t="str">
            <v>reg</v>
          </cell>
          <cell r="E712" t="str">
            <v>lfls1_s0_a4</v>
          </cell>
          <cell r="F712">
            <v>0.36846661567687988</v>
          </cell>
          <cell r="G712">
            <v>6</v>
          </cell>
        </row>
        <row r="713">
          <cell r="A713" t="str">
            <v>BGD</v>
          </cell>
          <cell r="B713" t="str">
            <v>Long</v>
          </cell>
          <cell r="C713" t="str">
            <v>2005 - 2022</v>
          </cell>
          <cell r="D713" t="str">
            <v>reg</v>
          </cell>
          <cell r="E713" t="str">
            <v>lfls1_s0_a5</v>
          </cell>
          <cell r="F713">
            <v>0.6198803186416626</v>
          </cell>
          <cell r="G713">
            <v>6</v>
          </cell>
        </row>
        <row r="714">
          <cell r="A714" t="str">
            <v>BGD</v>
          </cell>
          <cell r="B714" t="str">
            <v>Long</v>
          </cell>
          <cell r="C714" t="str">
            <v>2005 - 2022</v>
          </cell>
          <cell r="D714" t="str">
            <v>reg</v>
          </cell>
          <cell r="E714" t="str">
            <v>lfls1_s0_a6</v>
          </cell>
          <cell r="F714">
            <v>0.32554256916046143</v>
          </cell>
          <cell r="G714">
            <v>6</v>
          </cell>
        </row>
        <row r="715">
          <cell r="A715" t="str">
            <v>BGD</v>
          </cell>
          <cell r="B715" t="str">
            <v>Long</v>
          </cell>
          <cell r="C715" t="str">
            <v>2005 - 2022</v>
          </cell>
          <cell r="D715" t="str">
            <v>reg</v>
          </cell>
          <cell r="E715" t="str">
            <v>lfls1_s1_A0</v>
          </cell>
          <cell r="F715">
            <v>0.43483832478523254</v>
          </cell>
          <cell r="G715">
            <v>6</v>
          </cell>
        </row>
        <row r="716">
          <cell r="A716" t="str">
            <v>BGD</v>
          </cell>
          <cell r="B716" t="str">
            <v>Long</v>
          </cell>
          <cell r="C716" t="str">
            <v>2005 - 2022</v>
          </cell>
          <cell r="D716" t="str">
            <v>reg</v>
          </cell>
          <cell r="E716" t="str">
            <v>lfls1_s1_a1</v>
          </cell>
          <cell r="F716">
            <v>0.28195315599441528</v>
          </cell>
          <cell r="G716">
            <v>6</v>
          </cell>
        </row>
        <row r="717">
          <cell r="A717" t="str">
            <v>BGD</v>
          </cell>
          <cell r="B717" t="str">
            <v>Long</v>
          </cell>
          <cell r="C717" t="str">
            <v>2005 - 2022</v>
          </cell>
          <cell r="D717" t="str">
            <v>reg</v>
          </cell>
          <cell r="E717" t="str">
            <v>lfls1_s1_a2</v>
          </cell>
          <cell r="F717">
            <v>0.68743592500686646</v>
          </cell>
          <cell r="G717">
            <v>6</v>
          </cell>
        </row>
        <row r="718">
          <cell r="A718" t="str">
            <v>BGD</v>
          </cell>
          <cell r="B718" t="str">
            <v>Long</v>
          </cell>
          <cell r="C718" t="str">
            <v>2005 - 2022</v>
          </cell>
          <cell r="D718" t="str">
            <v>reg</v>
          </cell>
          <cell r="E718" t="str">
            <v>lfls1_s1_a3</v>
          </cell>
          <cell r="F718">
            <v>0.77297395467758179</v>
          </cell>
          <cell r="G718">
            <v>6</v>
          </cell>
        </row>
        <row r="719">
          <cell r="A719" t="str">
            <v>BGD</v>
          </cell>
          <cell r="B719" t="str">
            <v>Long</v>
          </cell>
          <cell r="C719" t="str">
            <v>2005 - 2022</v>
          </cell>
          <cell r="D719" t="str">
            <v>reg</v>
          </cell>
          <cell r="E719" t="str">
            <v>lfls1_s1_a4</v>
          </cell>
          <cell r="F719">
            <v>1.728533148765564</v>
          </cell>
          <cell r="G719">
            <v>6</v>
          </cell>
        </row>
        <row r="720">
          <cell r="A720" t="str">
            <v>BGD</v>
          </cell>
          <cell r="B720" t="str">
            <v>Long</v>
          </cell>
          <cell r="C720" t="str">
            <v>2005 - 2022</v>
          </cell>
          <cell r="D720" t="str">
            <v>reg</v>
          </cell>
          <cell r="E720" t="str">
            <v>lfls1_s1_a5</v>
          </cell>
          <cell r="F720">
            <v>0.42971432209014893</v>
          </cell>
          <cell r="G720">
            <v>6</v>
          </cell>
        </row>
        <row r="721">
          <cell r="A721" t="str">
            <v>BGD</v>
          </cell>
          <cell r="B721" t="str">
            <v>Long</v>
          </cell>
          <cell r="C721" t="str">
            <v>2005 - 2022</v>
          </cell>
          <cell r="D721" t="str">
            <v>reg</v>
          </cell>
          <cell r="E721" t="str">
            <v>lfls1_s1_a6</v>
          </cell>
          <cell r="F721">
            <v>1.3735581636428833</v>
          </cell>
          <cell r="G721">
            <v>6</v>
          </cell>
        </row>
        <row r="722">
          <cell r="A722" t="str">
            <v>BGD</v>
          </cell>
          <cell r="B722" t="str">
            <v>Long</v>
          </cell>
          <cell r="C722" t="str">
            <v>2005 - 2022</v>
          </cell>
          <cell r="D722" t="str">
            <v>reg</v>
          </cell>
          <cell r="E722" t="str">
            <v>lfprod_s0_a1</v>
          </cell>
          <cell r="F722">
            <v>-0.52494460344314575</v>
          </cell>
          <cell r="G722">
            <v>6</v>
          </cell>
        </row>
        <row r="723">
          <cell r="A723" t="str">
            <v>BGD</v>
          </cell>
          <cell r="B723" t="str">
            <v>Long</v>
          </cell>
          <cell r="C723" t="str">
            <v>2005 - 2022</v>
          </cell>
          <cell r="D723" t="str">
            <v>reg</v>
          </cell>
          <cell r="E723" t="str">
            <v>lfprod_s0_a2</v>
          </cell>
          <cell r="F723">
            <v>-0.39668717980384827</v>
          </cell>
          <cell r="G723">
            <v>6</v>
          </cell>
        </row>
        <row r="724">
          <cell r="A724" t="str">
            <v>BGD</v>
          </cell>
          <cell r="B724" t="str">
            <v>Long</v>
          </cell>
          <cell r="C724" t="str">
            <v>2005 - 2022</v>
          </cell>
          <cell r="D724" t="str">
            <v>reg</v>
          </cell>
          <cell r="E724" t="str">
            <v>lfprod_s0_a3</v>
          </cell>
          <cell r="F724">
            <v>-0.73759818077087402</v>
          </cell>
          <cell r="G724">
            <v>6</v>
          </cell>
        </row>
        <row r="725">
          <cell r="A725" t="str">
            <v>BGD</v>
          </cell>
          <cell r="B725" t="str">
            <v>Long</v>
          </cell>
          <cell r="C725" t="str">
            <v>2005 - 2022</v>
          </cell>
          <cell r="D725" t="str">
            <v>reg</v>
          </cell>
          <cell r="E725" t="str">
            <v>lfprod_s0_a4</v>
          </cell>
          <cell r="F725">
            <v>-0.63153338432312012</v>
          </cell>
          <cell r="G725">
            <v>6</v>
          </cell>
        </row>
        <row r="726">
          <cell r="A726" t="str">
            <v>BGD</v>
          </cell>
          <cell r="B726" t="str">
            <v>Long</v>
          </cell>
          <cell r="C726" t="str">
            <v>2005 - 2022</v>
          </cell>
          <cell r="D726" t="str">
            <v>reg</v>
          </cell>
          <cell r="E726" t="str">
            <v>lfprod_s0_a5</v>
          </cell>
          <cell r="F726">
            <v>-0.3801196813583374</v>
          </cell>
          <cell r="G726">
            <v>6</v>
          </cell>
        </row>
        <row r="727">
          <cell r="A727" t="str">
            <v>BGD</v>
          </cell>
          <cell r="B727" t="str">
            <v>Long</v>
          </cell>
          <cell r="C727" t="str">
            <v>2005 - 2022</v>
          </cell>
          <cell r="D727" t="str">
            <v>reg</v>
          </cell>
          <cell r="E727" t="str">
            <v>lfprod_s0_a6</v>
          </cell>
          <cell r="F727">
            <v>-0.67445743083953857</v>
          </cell>
          <cell r="G727">
            <v>6</v>
          </cell>
        </row>
        <row r="728">
          <cell r="A728" t="str">
            <v>BGD</v>
          </cell>
          <cell r="B728" t="str">
            <v>Long</v>
          </cell>
          <cell r="C728" t="str">
            <v>2005 - 2022</v>
          </cell>
          <cell r="D728" t="str">
            <v>reg</v>
          </cell>
          <cell r="E728" t="str">
            <v>lfprod_s1_a1</v>
          </cell>
          <cell r="F728">
            <v>-0.71804684400558472</v>
          </cell>
          <cell r="G728">
            <v>6</v>
          </cell>
        </row>
        <row r="729">
          <cell r="A729" t="str">
            <v>BGD</v>
          </cell>
          <cell r="B729" t="str">
            <v>Long</v>
          </cell>
          <cell r="C729" t="str">
            <v>2005 - 2022</v>
          </cell>
          <cell r="D729" t="str">
            <v>reg</v>
          </cell>
          <cell r="E729" t="str">
            <v>lfprod_s1_a2</v>
          </cell>
          <cell r="F729">
            <v>-0.31256404519081116</v>
          </cell>
          <cell r="G729">
            <v>6</v>
          </cell>
        </row>
        <row r="730">
          <cell r="A730" t="str">
            <v>BGD</v>
          </cell>
          <cell r="B730" t="str">
            <v>Long</v>
          </cell>
          <cell r="C730" t="str">
            <v>2005 - 2022</v>
          </cell>
          <cell r="D730" t="str">
            <v>reg</v>
          </cell>
          <cell r="E730" t="str">
            <v>lfprod_s1_a3</v>
          </cell>
          <cell r="F730">
            <v>-0.22702606022357941</v>
          </cell>
          <cell r="G730">
            <v>6</v>
          </cell>
        </row>
        <row r="731">
          <cell r="A731" t="str">
            <v>BGD</v>
          </cell>
          <cell r="B731" t="str">
            <v>Long</v>
          </cell>
          <cell r="C731" t="str">
            <v>2005 - 2022</v>
          </cell>
          <cell r="D731" t="str">
            <v>reg</v>
          </cell>
          <cell r="E731" t="str">
            <v>lfprod_s1_a4</v>
          </cell>
          <cell r="F731">
            <v>0.72853314876556396</v>
          </cell>
          <cell r="G731">
            <v>6</v>
          </cell>
        </row>
        <row r="732">
          <cell r="A732" t="str">
            <v>BGD</v>
          </cell>
          <cell r="B732" t="str">
            <v>Long</v>
          </cell>
          <cell r="C732" t="str">
            <v>2005 - 2022</v>
          </cell>
          <cell r="D732" t="str">
            <v>reg</v>
          </cell>
          <cell r="E732" t="str">
            <v>lfprod_s1_a5</v>
          </cell>
          <cell r="F732">
            <v>-0.57028567790985107</v>
          </cell>
          <cell r="G732">
            <v>6</v>
          </cell>
        </row>
        <row r="733">
          <cell r="A733" t="str">
            <v>BGD</v>
          </cell>
          <cell r="B733" t="str">
            <v>Long</v>
          </cell>
          <cell r="C733" t="str">
            <v>2005 - 2022</v>
          </cell>
          <cell r="D733" t="str">
            <v>reg</v>
          </cell>
          <cell r="E733" t="str">
            <v>lfprod_s1_a6</v>
          </cell>
          <cell r="F733">
            <v>0.37355819344520569</v>
          </cell>
          <cell r="G733">
            <v>6</v>
          </cell>
        </row>
        <row r="734">
          <cell r="A734" t="str">
            <v>BGD</v>
          </cell>
          <cell r="B734" t="str">
            <v>Long</v>
          </cell>
          <cell r="C734" t="str">
            <v>2005 - 2022</v>
          </cell>
          <cell r="D734" t="str">
            <v>reg_gdp</v>
          </cell>
          <cell r="E734" t="str">
            <v>lfls12_S0_A0</v>
          </cell>
          <cell r="F734">
            <v>0.36932170391082764</v>
          </cell>
          <cell r="G734">
            <v>6</v>
          </cell>
        </row>
        <row r="735">
          <cell r="A735" t="str">
            <v>BGD</v>
          </cell>
          <cell r="B735" t="str">
            <v>Long</v>
          </cell>
          <cell r="C735" t="str">
            <v>2005 - 2022</v>
          </cell>
          <cell r="D735" t="str">
            <v>reg_gdp</v>
          </cell>
          <cell r="E735" t="str">
            <v>lfls1_S0_A0</v>
          </cell>
          <cell r="F735">
            <v>0.37071043252944946</v>
          </cell>
          <cell r="G735">
            <v>6</v>
          </cell>
        </row>
        <row r="736">
          <cell r="A736" t="str">
            <v>BGD</v>
          </cell>
          <cell r="B736" t="str">
            <v>Long</v>
          </cell>
          <cell r="C736" t="str">
            <v>2005 - 2022</v>
          </cell>
          <cell r="D736" t="str">
            <v>reg_gdp</v>
          </cell>
          <cell r="E736" t="str">
            <v>lfls1_S0_a1</v>
          </cell>
          <cell r="F736">
            <v>0.30950301885604858</v>
          </cell>
          <cell r="G736">
            <v>6</v>
          </cell>
        </row>
        <row r="737">
          <cell r="A737" t="str">
            <v>BGD</v>
          </cell>
          <cell r="B737" t="str">
            <v>Long</v>
          </cell>
          <cell r="C737" t="str">
            <v>2005 - 2022</v>
          </cell>
          <cell r="D737" t="str">
            <v>reg_gdp</v>
          </cell>
          <cell r="E737" t="str">
            <v>lfls1_S0_a2</v>
          </cell>
          <cell r="F737">
            <v>-0.60339999198913574</v>
          </cell>
          <cell r="G737">
            <v>6</v>
          </cell>
        </row>
        <row r="738">
          <cell r="A738" t="str">
            <v>BGD</v>
          </cell>
          <cell r="B738" t="str">
            <v>Long</v>
          </cell>
          <cell r="C738" t="str">
            <v>2005 - 2022</v>
          </cell>
          <cell r="D738" t="str">
            <v>reg_gdp</v>
          </cell>
          <cell r="E738" t="str">
            <v>lfls1_S0_a3</v>
          </cell>
          <cell r="F738">
            <v>6.2240233421325684</v>
          </cell>
          <cell r="G738">
            <v>6</v>
          </cell>
        </row>
        <row r="739">
          <cell r="A739" t="str">
            <v>BGD</v>
          </cell>
          <cell r="B739" t="str">
            <v>Long</v>
          </cell>
          <cell r="C739" t="str">
            <v>2005 - 2022</v>
          </cell>
          <cell r="D739" t="str">
            <v>reg_gdp</v>
          </cell>
          <cell r="E739" t="str">
            <v>lfls1_S0_a4</v>
          </cell>
          <cell r="F739">
            <v>-0.67375117540359497</v>
          </cell>
          <cell r="G739">
            <v>6</v>
          </cell>
        </row>
        <row r="740">
          <cell r="A740" t="str">
            <v>BGD</v>
          </cell>
          <cell r="B740" t="str">
            <v>Long</v>
          </cell>
          <cell r="C740" t="str">
            <v>2005 - 2022</v>
          </cell>
          <cell r="D740" t="str">
            <v>reg_gdp</v>
          </cell>
          <cell r="E740" t="str">
            <v>lfls1_S0_a5</v>
          </cell>
          <cell r="F740">
            <v>0.48534178733825684</v>
          </cell>
          <cell r="G740">
            <v>6</v>
          </cell>
        </row>
        <row r="741">
          <cell r="A741" t="str">
            <v>BGD</v>
          </cell>
          <cell r="B741" t="str">
            <v>Long</v>
          </cell>
          <cell r="C741" t="str">
            <v>2005 - 2022</v>
          </cell>
          <cell r="D741" t="str">
            <v>reg_gdp</v>
          </cell>
          <cell r="E741" t="str">
            <v>lfls1_S0_a6</v>
          </cell>
          <cell r="F741">
            <v>1.4374668598175049</v>
          </cell>
          <cell r="G741">
            <v>6</v>
          </cell>
        </row>
        <row r="742">
          <cell r="A742" t="str">
            <v>BGD</v>
          </cell>
          <cell r="B742" t="str">
            <v>Long</v>
          </cell>
          <cell r="C742" t="str">
            <v>2005 - 2022</v>
          </cell>
          <cell r="D742" t="str">
            <v>reg_gdp</v>
          </cell>
          <cell r="E742" t="str">
            <v>lfls1_s0_A0</v>
          </cell>
          <cell r="F742">
            <v>0.36951625347137451</v>
          </cell>
          <cell r="G742">
            <v>6</v>
          </cell>
        </row>
        <row r="743">
          <cell r="A743" t="str">
            <v>BGD</v>
          </cell>
          <cell r="B743" t="str">
            <v>Long</v>
          </cell>
          <cell r="C743" t="str">
            <v>2005 - 2022</v>
          </cell>
          <cell r="D743" t="str">
            <v>reg_gdp</v>
          </cell>
          <cell r="E743" t="str">
            <v>lfls1_s0_a1</v>
          </cell>
          <cell r="F743">
            <v>-0.53788930177688599</v>
          </cell>
          <cell r="G743">
            <v>6</v>
          </cell>
        </row>
        <row r="744">
          <cell r="A744" t="str">
            <v>BGD</v>
          </cell>
          <cell r="B744" t="str">
            <v>Long</v>
          </cell>
          <cell r="C744" t="str">
            <v>2005 - 2022</v>
          </cell>
          <cell r="D744" t="str">
            <v>reg_gdp</v>
          </cell>
          <cell r="E744" t="str">
            <v>lfls1_s0_a2</v>
          </cell>
          <cell r="F744">
            <v>-0.53714120388031006</v>
          </cell>
          <cell r="G744">
            <v>6</v>
          </cell>
        </row>
        <row r="745">
          <cell r="A745" t="str">
            <v>BGD</v>
          </cell>
          <cell r="B745" t="str">
            <v>Long</v>
          </cell>
          <cell r="C745" t="str">
            <v>2005 - 2022</v>
          </cell>
          <cell r="D745" t="str">
            <v>reg_gdp</v>
          </cell>
          <cell r="E745" t="str">
            <v>lfls1_s0_a3</v>
          </cell>
          <cell r="F745">
            <v>5.2406229972839355</v>
          </cell>
          <cell r="G745">
            <v>6</v>
          </cell>
        </row>
        <row r="746">
          <cell r="A746" t="str">
            <v>BGD</v>
          </cell>
          <cell r="B746" t="str">
            <v>Long</v>
          </cell>
          <cell r="C746" t="str">
            <v>2005 - 2022</v>
          </cell>
          <cell r="D746" t="str">
            <v>reg_gdp</v>
          </cell>
          <cell r="E746" t="str">
            <v>lfls1_s0_a4</v>
          </cell>
          <cell r="F746">
            <v>-0.71966069936752319</v>
          </cell>
          <cell r="G746">
            <v>6</v>
          </cell>
        </row>
        <row r="747">
          <cell r="A747" t="str">
            <v>BGD</v>
          </cell>
          <cell r="B747" t="str">
            <v>Long</v>
          </cell>
          <cell r="C747" t="str">
            <v>2005 - 2022</v>
          </cell>
          <cell r="D747" t="str">
            <v>reg_gdp</v>
          </cell>
          <cell r="E747" t="str">
            <v>lfls1_s0_a5</v>
          </cell>
          <cell r="F747">
            <v>-0.68886828422546387</v>
          </cell>
          <cell r="G747">
            <v>6</v>
          </cell>
        </row>
        <row r="748">
          <cell r="A748" t="str">
            <v>BGD</v>
          </cell>
          <cell r="B748" t="str">
            <v>Long</v>
          </cell>
          <cell r="C748" t="str">
            <v>2005 - 2022</v>
          </cell>
          <cell r="D748" t="str">
            <v>reg_gdp</v>
          </cell>
          <cell r="E748" t="str">
            <v>lfls1_s0_a6</v>
          </cell>
          <cell r="F748">
            <v>1.4583019018173218</v>
          </cell>
          <cell r="G748">
            <v>6</v>
          </cell>
        </row>
        <row r="749">
          <cell r="A749" t="str">
            <v>BGD</v>
          </cell>
          <cell r="B749" t="str">
            <v>Long</v>
          </cell>
          <cell r="C749" t="str">
            <v>2005 - 2022</v>
          </cell>
          <cell r="D749" t="str">
            <v>reg_gdp</v>
          </cell>
          <cell r="E749" t="str">
            <v>lfls1_s1_A0</v>
          </cell>
          <cell r="F749">
            <v>0.43483832478523254</v>
          </cell>
          <cell r="G749">
            <v>6</v>
          </cell>
        </row>
        <row r="750">
          <cell r="A750" t="str">
            <v>BGD</v>
          </cell>
          <cell r="B750" t="str">
            <v>Long</v>
          </cell>
          <cell r="C750" t="str">
            <v>2005 - 2022</v>
          </cell>
          <cell r="D750" t="str">
            <v>reg_gdp</v>
          </cell>
          <cell r="E750" t="str">
            <v>lfls1_s1_a1</v>
          </cell>
          <cell r="F750">
            <v>-0.51990371942520142</v>
          </cell>
          <cell r="G750">
            <v>6</v>
          </cell>
        </row>
        <row r="751">
          <cell r="A751" t="str">
            <v>BGD</v>
          </cell>
          <cell r="B751" t="str">
            <v>Long</v>
          </cell>
          <cell r="C751" t="str">
            <v>2005 - 2022</v>
          </cell>
          <cell r="D751" t="str">
            <v>reg_gdp</v>
          </cell>
          <cell r="E751" t="str">
            <v>lfls1_s1_a2</v>
          </cell>
          <cell r="F751">
            <v>-1.4586539268493652</v>
          </cell>
          <cell r="G751">
            <v>6</v>
          </cell>
        </row>
        <row r="752">
          <cell r="A752" t="str">
            <v>BGD</v>
          </cell>
          <cell r="B752" t="str">
            <v>Long</v>
          </cell>
          <cell r="C752" t="str">
            <v>2005 - 2022</v>
          </cell>
          <cell r="D752" t="str">
            <v>reg_gdp</v>
          </cell>
          <cell r="E752" t="str">
            <v>lfls1_s1_a3</v>
          </cell>
          <cell r="F752">
            <v>21.259532928466797</v>
          </cell>
          <cell r="G752">
            <v>6</v>
          </cell>
        </row>
        <row r="753">
          <cell r="A753" t="str">
            <v>BGD</v>
          </cell>
          <cell r="B753" t="str">
            <v>Long</v>
          </cell>
          <cell r="C753" t="str">
            <v>2005 - 2022</v>
          </cell>
          <cell r="D753" t="str">
            <v>reg_gdp</v>
          </cell>
          <cell r="E753" t="str">
            <v>lfls1_s1_a4</v>
          </cell>
          <cell r="F753">
            <v>1.5574235916137695</v>
          </cell>
          <cell r="G753">
            <v>6</v>
          </cell>
        </row>
        <row r="754">
          <cell r="A754" t="str">
            <v>BGD</v>
          </cell>
          <cell r="B754" t="str">
            <v>Long</v>
          </cell>
          <cell r="C754" t="str">
            <v>2005 - 2022</v>
          </cell>
          <cell r="D754" t="str">
            <v>reg_gdp</v>
          </cell>
          <cell r="E754" t="str">
            <v>lfls1_s1_a5</v>
          </cell>
          <cell r="F754">
            <v>2.0277731418609619</v>
          </cell>
          <cell r="G754">
            <v>6</v>
          </cell>
        </row>
        <row r="755">
          <cell r="A755" t="str">
            <v>BGD</v>
          </cell>
          <cell r="B755" t="str">
            <v>Long</v>
          </cell>
          <cell r="C755" t="str">
            <v>2005 - 2022</v>
          </cell>
          <cell r="D755" t="str">
            <v>reg_gdp</v>
          </cell>
          <cell r="E755" t="str">
            <v>lfls1_s1_a6</v>
          </cell>
          <cell r="F755">
            <v>0.19507989287376404</v>
          </cell>
          <cell r="G755">
            <v>6</v>
          </cell>
        </row>
        <row r="756">
          <cell r="A756" t="str">
            <v>BGD</v>
          </cell>
          <cell r="B756" t="str">
            <v>Long</v>
          </cell>
          <cell r="C756" t="str">
            <v>2005 - 2022</v>
          </cell>
          <cell r="D756" t="str">
            <v>reg_gdp</v>
          </cell>
          <cell r="E756" t="str">
            <v>lfprod_s0_a1</v>
          </cell>
          <cell r="F756">
            <v>-1.5378892421722412</v>
          </cell>
          <cell r="G756">
            <v>6</v>
          </cell>
        </row>
        <row r="757">
          <cell r="A757" t="str">
            <v>BGD</v>
          </cell>
          <cell r="B757" t="str">
            <v>Long</v>
          </cell>
          <cell r="C757" t="str">
            <v>2005 - 2022</v>
          </cell>
          <cell r="D757" t="str">
            <v>reg_gdp</v>
          </cell>
          <cell r="E757" t="str">
            <v>lfprod_s0_a2</v>
          </cell>
          <cell r="F757">
            <v>-1.5371412038803101</v>
          </cell>
          <cell r="G757">
            <v>6</v>
          </cell>
        </row>
        <row r="758">
          <cell r="A758" t="str">
            <v>BGD</v>
          </cell>
          <cell r="B758" t="str">
            <v>Long</v>
          </cell>
          <cell r="C758" t="str">
            <v>2005 - 2022</v>
          </cell>
          <cell r="D758" t="str">
            <v>reg_gdp</v>
          </cell>
          <cell r="E758" t="str">
            <v>lfprod_s0_a3</v>
          </cell>
          <cell r="F758">
            <v>4.2406229972839355</v>
          </cell>
          <cell r="G758">
            <v>6</v>
          </cell>
        </row>
        <row r="759">
          <cell r="A759" t="str">
            <v>BGD</v>
          </cell>
          <cell r="B759" t="str">
            <v>Long</v>
          </cell>
          <cell r="C759" t="str">
            <v>2005 - 2022</v>
          </cell>
          <cell r="D759" t="str">
            <v>reg_gdp</v>
          </cell>
          <cell r="E759" t="str">
            <v>lfprod_s0_a4</v>
          </cell>
          <cell r="F759">
            <v>-1.719660758972168</v>
          </cell>
          <cell r="G759">
            <v>6</v>
          </cell>
        </row>
        <row r="760">
          <cell r="A760" t="str">
            <v>BGD</v>
          </cell>
          <cell r="B760" t="str">
            <v>Long</v>
          </cell>
          <cell r="C760" t="str">
            <v>2005 - 2022</v>
          </cell>
          <cell r="D760" t="str">
            <v>reg_gdp</v>
          </cell>
          <cell r="E760" t="str">
            <v>lfprod_s0_a5</v>
          </cell>
          <cell r="F760">
            <v>-1.6888682842254639</v>
          </cell>
          <cell r="G760">
            <v>6</v>
          </cell>
        </row>
        <row r="761">
          <cell r="A761" t="str">
            <v>BGD</v>
          </cell>
          <cell r="B761" t="str">
            <v>Long</v>
          </cell>
          <cell r="C761" t="str">
            <v>2005 - 2022</v>
          </cell>
          <cell r="D761" t="str">
            <v>reg_gdp</v>
          </cell>
          <cell r="E761" t="str">
            <v>lfprod_s0_a6</v>
          </cell>
          <cell r="F761">
            <v>0.45830196142196655</v>
          </cell>
          <cell r="G761">
            <v>6</v>
          </cell>
        </row>
        <row r="762">
          <cell r="A762" t="str">
            <v>BGD</v>
          </cell>
          <cell r="B762" t="str">
            <v>Long</v>
          </cell>
          <cell r="C762" t="str">
            <v>2005 - 2022</v>
          </cell>
          <cell r="D762" t="str">
            <v>reg_gdp</v>
          </cell>
          <cell r="E762" t="str">
            <v>lfprod_s1_a1</v>
          </cell>
          <cell r="F762">
            <v>-1.5199037790298462</v>
          </cell>
          <cell r="G762">
            <v>6</v>
          </cell>
        </row>
        <row r="763">
          <cell r="A763" t="str">
            <v>BGD</v>
          </cell>
          <cell r="B763" t="str">
            <v>Long</v>
          </cell>
          <cell r="C763" t="str">
            <v>2005 - 2022</v>
          </cell>
          <cell r="D763" t="str">
            <v>reg_gdp</v>
          </cell>
          <cell r="E763" t="str">
            <v>lfprod_s1_a2</v>
          </cell>
          <cell r="F763">
            <v>-2.4586539268493652</v>
          </cell>
          <cell r="G763">
            <v>6</v>
          </cell>
        </row>
        <row r="764">
          <cell r="A764" t="str">
            <v>BGD</v>
          </cell>
          <cell r="B764" t="str">
            <v>Long</v>
          </cell>
          <cell r="C764" t="str">
            <v>2005 - 2022</v>
          </cell>
          <cell r="D764" t="str">
            <v>reg_gdp</v>
          </cell>
          <cell r="E764" t="str">
            <v>lfprod_s1_a3</v>
          </cell>
          <cell r="F764">
            <v>20.259532928466797</v>
          </cell>
          <cell r="G764">
            <v>6</v>
          </cell>
        </row>
        <row r="765">
          <cell r="A765" t="str">
            <v>BGD</v>
          </cell>
          <cell r="B765" t="str">
            <v>Long</v>
          </cell>
          <cell r="C765" t="str">
            <v>2005 - 2022</v>
          </cell>
          <cell r="D765" t="str">
            <v>reg_gdp</v>
          </cell>
          <cell r="E765" t="str">
            <v>lfprod_s1_a4</v>
          </cell>
          <cell r="F765">
            <v>0.55742359161376953</v>
          </cell>
          <cell r="G765">
            <v>6</v>
          </cell>
        </row>
        <row r="766">
          <cell r="A766" t="str">
            <v>BGD</v>
          </cell>
          <cell r="B766" t="str">
            <v>Long</v>
          </cell>
          <cell r="C766" t="str">
            <v>2005 - 2022</v>
          </cell>
          <cell r="D766" t="str">
            <v>reg_gdp</v>
          </cell>
          <cell r="E766" t="str">
            <v>lfprod_s1_a5</v>
          </cell>
          <cell r="F766">
            <v>1.0277731418609619</v>
          </cell>
          <cell r="G766">
            <v>6</v>
          </cell>
        </row>
        <row r="767">
          <cell r="A767" t="str">
            <v>BGD</v>
          </cell>
          <cell r="B767" t="str">
            <v>Long</v>
          </cell>
          <cell r="C767" t="str">
            <v>2005 - 2022</v>
          </cell>
          <cell r="D767" t="str">
            <v>reg_gdp</v>
          </cell>
          <cell r="E767" t="str">
            <v>lfprod_s1_a6</v>
          </cell>
          <cell r="F767">
            <v>-0.80492007732391357</v>
          </cell>
          <cell r="G767">
            <v>6</v>
          </cell>
        </row>
        <row r="768">
          <cell r="A768" t="str">
            <v>BGD</v>
          </cell>
          <cell r="B768" t="str">
            <v>Long</v>
          </cell>
          <cell r="C768" t="str">
            <v>2005 - 2022</v>
          </cell>
          <cell r="D768" t="str">
            <v>reg_iter</v>
          </cell>
          <cell r="E768" t="str">
            <v>lfls12_S0_A0</v>
          </cell>
          <cell r="F768">
            <v>0.36932170391082764</v>
          </cell>
          <cell r="G768">
            <v>6</v>
          </cell>
        </row>
        <row r="769">
          <cell r="A769" t="str">
            <v>BGD</v>
          </cell>
          <cell r="B769" t="str">
            <v>Long</v>
          </cell>
          <cell r="C769" t="str">
            <v>2005 - 2022</v>
          </cell>
          <cell r="D769" t="str">
            <v>reg_iter</v>
          </cell>
          <cell r="E769" t="str">
            <v>lfls1_S0_A0</v>
          </cell>
          <cell r="F769">
            <v>0.37071043252944946</v>
          </cell>
          <cell r="G769">
            <v>6</v>
          </cell>
        </row>
        <row r="770">
          <cell r="A770" t="str">
            <v>BGD</v>
          </cell>
          <cell r="B770" t="str">
            <v>Long</v>
          </cell>
          <cell r="C770" t="str">
            <v>2005 - 2022</v>
          </cell>
          <cell r="D770" t="str">
            <v>reg_iter</v>
          </cell>
          <cell r="E770" t="str">
            <v>lfls1_S0_a1</v>
          </cell>
          <cell r="F770">
            <v>0.30950301885604858</v>
          </cell>
          <cell r="G770">
            <v>6</v>
          </cell>
        </row>
        <row r="771">
          <cell r="A771" t="str">
            <v>BGD</v>
          </cell>
          <cell r="B771" t="str">
            <v>Long</v>
          </cell>
          <cell r="C771" t="str">
            <v>2005 - 2022</v>
          </cell>
          <cell r="D771" t="str">
            <v>reg_iter</v>
          </cell>
          <cell r="E771" t="str">
            <v>lfls1_S0_a2</v>
          </cell>
          <cell r="F771">
            <v>-0.60339999198913574</v>
          </cell>
          <cell r="G771">
            <v>6</v>
          </cell>
        </row>
        <row r="772">
          <cell r="A772" t="str">
            <v>BGD</v>
          </cell>
          <cell r="B772" t="str">
            <v>Long</v>
          </cell>
          <cell r="C772" t="str">
            <v>2005 - 2022</v>
          </cell>
          <cell r="D772" t="str">
            <v>reg_iter</v>
          </cell>
          <cell r="E772" t="str">
            <v>lfls1_S0_a3</v>
          </cell>
          <cell r="F772">
            <v>6.2240233421325684</v>
          </cell>
          <cell r="G772">
            <v>6</v>
          </cell>
        </row>
        <row r="773">
          <cell r="A773" t="str">
            <v>BGD</v>
          </cell>
          <cell r="B773" t="str">
            <v>Long</v>
          </cell>
          <cell r="C773" t="str">
            <v>2005 - 2022</v>
          </cell>
          <cell r="D773" t="str">
            <v>reg_iter</v>
          </cell>
          <cell r="E773" t="str">
            <v>lfls1_S0_a4</v>
          </cell>
          <cell r="F773">
            <v>-0.67375117540359497</v>
          </cell>
          <cell r="G773">
            <v>6</v>
          </cell>
        </row>
        <row r="774">
          <cell r="A774" t="str">
            <v>BGD</v>
          </cell>
          <cell r="B774" t="str">
            <v>Long</v>
          </cell>
          <cell r="C774" t="str">
            <v>2005 - 2022</v>
          </cell>
          <cell r="D774" t="str">
            <v>reg_iter</v>
          </cell>
          <cell r="E774" t="str">
            <v>lfls1_S0_a5</v>
          </cell>
          <cell r="F774">
            <v>0.48534178733825684</v>
          </cell>
          <cell r="G774">
            <v>6</v>
          </cell>
        </row>
        <row r="775">
          <cell r="A775" t="str">
            <v>BGD</v>
          </cell>
          <cell r="B775" t="str">
            <v>Long</v>
          </cell>
          <cell r="C775" t="str">
            <v>2005 - 2022</v>
          </cell>
          <cell r="D775" t="str">
            <v>reg_iter</v>
          </cell>
          <cell r="E775" t="str">
            <v>lfls1_S0_a6</v>
          </cell>
          <cell r="F775">
            <v>1.4374668598175049</v>
          </cell>
          <cell r="G775">
            <v>6</v>
          </cell>
        </row>
        <row r="776">
          <cell r="A776" t="str">
            <v>BGD</v>
          </cell>
          <cell r="B776" t="str">
            <v>Long</v>
          </cell>
          <cell r="C776" t="str">
            <v>2005 - 2022</v>
          </cell>
          <cell r="D776" t="str">
            <v>reg_iter</v>
          </cell>
          <cell r="E776" t="str">
            <v>lfls1_s0_A0</v>
          </cell>
          <cell r="F776">
            <v>0.36951625347137451</v>
          </cell>
          <cell r="G776">
            <v>6</v>
          </cell>
        </row>
        <row r="777">
          <cell r="A777" t="str">
            <v>BGD</v>
          </cell>
          <cell r="B777" t="str">
            <v>Long</v>
          </cell>
          <cell r="C777" t="str">
            <v>2005 - 2022</v>
          </cell>
          <cell r="D777" t="str">
            <v>reg_iter</v>
          </cell>
          <cell r="E777" t="str">
            <v>lfls1_s0_a1</v>
          </cell>
          <cell r="F777">
            <v>-0.53788930177688599</v>
          </cell>
          <cell r="G777">
            <v>6</v>
          </cell>
        </row>
        <row r="778">
          <cell r="A778" t="str">
            <v>BGD</v>
          </cell>
          <cell r="B778" t="str">
            <v>Long</v>
          </cell>
          <cell r="C778" t="str">
            <v>2005 - 2022</v>
          </cell>
          <cell r="D778" t="str">
            <v>reg_iter</v>
          </cell>
          <cell r="E778" t="str">
            <v>lfls1_s0_a2</v>
          </cell>
          <cell r="F778">
            <v>-0.53714120388031006</v>
          </cell>
          <cell r="G778">
            <v>6</v>
          </cell>
        </row>
        <row r="779">
          <cell r="A779" t="str">
            <v>BGD</v>
          </cell>
          <cell r="B779" t="str">
            <v>Long</v>
          </cell>
          <cell r="C779" t="str">
            <v>2005 - 2022</v>
          </cell>
          <cell r="D779" t="str">
            <v>reg_iter</v>
          </cell>
          <cell r="E779" t="str">
            <v>lfls1_s0_a3</v>
          </cell>
          <cell r="F779">
            <v>5.2406229972839355</v>
          </cell>
          <cell r="G779">
            <v>6</v>
          </cell>
        </row>
        <row r="780">
          <cell r="A780" t="str">
            <v>BGD</v>
          </cell>
          <cell r="B780" t="str">
            <v>Long</v>
          </cell>
          <cell r="C780" t="str">
            <v>2005 - 2022</v>
          </cell>
          <cell r="D780" t="str">
            <v>reg_iter</v>
          </cell>
          <cell r="E780" t="str">
            <v>lfls1_s0_a4</v>
          </cell>
          <cell r="F780">
            <v>-0.71966069936752319</v>
          </cell>
          <cell r="G780">
            <v>6</v>
          </cell>
        </row>
        <row r="781">
          <cell r="A781" t="str">
            <v>BGD</v>
          </cell>
          <cell r="B781" t="str">
            <v>Long</v>
          </cell>
          <cell r="C781" t="str">
            <v>2005 - 2022</v>
          </cell>
          <cell r="D781" t="str">
            <v>reg_iter</v>
          </cell>
          <cell r="E781" t="str">
            <v>lfls1_s0_a5</v>
          </cell>
          <cell r="F781">
            <v>-0.68886828422546387</v>
          </cell>
          <cell r="G781">
            <v>6</v>
          </cell>
        </row>
        <row r="782">
          <cell r="A782" t="str">
            <v>BGD</v>
          </cell>
          <cell r="B782" t="str">
            <v>Long</v>
          </cell>
          <cell r="C782" t="str">
            <v>2005 - 2022</v>
          </cell>
          <cell r="D782" t="str">
            <v>reg_iter</v>
          </cell>
          <cell r="E782" t="str">
            <v>lfls1_s0_a6</v>
          </cell>
          <cell r="F782">
            <v>1.4583019018173218</v>
          </cell>
          <cell r="G782">
            <v>6</v>
          </cell>
        </row>
        <row r="783">
          <cell r="A783" t="str">
            <v>BGD</v>
          </cell>
          <cell r="B783" t="str">
            <v>Long</v>
          </cell>
          <cell r="C783" t="str">
            <v>2005 - 2022</v>
          </cell>
          <cell r="D783" t="str">
            <v>reg_iter</v>
          </cell>
          <cell r="E783" t="str">
            <v>lfls1_s1_A0</v>
          </cell>
          <cell r="F783">
            <v>0.43483832478523254</v>
          </cell>
          <cell r="G783">
            <v>6</v>
          </cell>
        </row>
        <row r="784">
          <cell r="A784" t="str">
            <v>BGD</v>
          </cell>
          <cell r="B784" t="str">
            <v>Long</v>
          </cell>
          <cell r="C784" t="str">
            <v>2005 - 2022</v>
          </cell>
          <cell r="D784" t="str">
            <v>reg_iter</v>
          </cell>
          <cell r="E784" t="str">
            <v>lfls1_s1_a1</v>
          </cell>
          <cell r="F784">
            <v>-0.51990371942520142</v>
          </cell>
          <cell r="G784">
            <v>6</v>
          </cell>
        </row>
        <row r="785">
          <cell r="A785" t="str">
            <v>BGD</v>
          </cell>
          <cell r="B785" t="str">
            <v>Long</v>
          </cell>
          <cell r="C785" t="str">
            <v>2005 - 2022</v>
          </cell>
          <cell r="D785" t="str">
            <v>reg_iter</v>
          </cell>
          <cell r="E785" t="str">
            <v>lfls1_s1_a2</v>
          </cell>
          <cell r="F785">
            <v>-1.4586539268493652</v>
          </cell>
          <cell r="G785">
            <v>6</v>
          </cell>
        </row>
        <row r="786">
          <cell r="A786" t="str">
            <v>BGD</v>
          </cell>
          <cell r="B786" t="str">
            <v>Long</v>
          </cell>
          <cell r="C786" t="str">
            <v>2005 - 2022</v>
          </cell>
          <cell r="D786" t="str">
            <v>reg_iter</v>
          </cell>
          <cell r="E786" t="str">
            <v>lfls1_s1_a3</v>
          </cell>
          <cell r="F786">
            <v>21.259532928466797</v>
          </cell>
          <cell r="G786">
            <v>6</v>
          </cell>
        </row>
        <row r="787">
          <cell r="A787" t="str">
            <v>BGD</v>
          </cell>
          <cell r="B787" t="str">
            <v>Long</v>
          </cell>
          <cell r="C787" t="str">
            <v>2005 - 2022</v>
          </cell>
          <cell r="D787" t="str">
            <v>reg_iter</v>
          </cell>
          <cell r="E787" t="str">
            <v>lfls1_s1_a4</v>
          </cell>
          <cell r="F787">
            <v>1.5574235916137695</v>
          </cell>
          <cell r="G787">
            <v>6</v>
          </cell>
        </row>
        <row r="788">
          <cell r="A788" t="str">
            <v>BGD</v>
          </cell>
          <cell r="B788" t="str">
            <v>Long</v>
          </cell>
          <cell r="C788" t="str">
            <v>2005 - 2022</v>
          </cell>
          <cell r="D788" t="str">
            <v>reg_iter</v>
          </cell>
          <cell r="E788" t="str">
            <v>lfls1_s1_a5</v>
          </cell>
          <cell r="F788">
            <v>2.0277731418609619</v>
          </cell>
          <cell r="G788">
            <v>6</v>
          </cell>
        </row>
        <row r="789">
          <cell r="A789" t="str">
            <v>BGD</v>
          </cell>
          <cell r="B789" t="str">
            <v>Long</v>
          </cell>
          <cell r="C789" t="str">
            <v>2005 - 2022</v>
          </cell>
          <cell r="D789" t="str">
            <v>reg_iter</v>
          </cell>
          <cell r="E789" t="str">
            <v>lfls1_s1_a6</v>
          </cell>
          <cell r="F789">
            <v>0.19507989287376404</v>
          </cell>
          <cell r="G789">
            <v>6</v>
          </cell>
        </row>
        <row r="790">
          <cell r="A790" t="str">
            <v>BGD</v>
          </cell>
          <cell r="B790" t="str">
            <v>Long</v>
          </cell>
          <cell r="C790" t="str">
            <v>2005 - 2022</v>
          </cell>
          <cell r="D790" t="str">
            <v>reg_iter</v>
          </cell>
          <cell r="E790" t="str">
            <v>lfprod_s0_a1</v>
          </cell>
          <cell r="F790">
            <v>-1.5378892421722412</v>
          </cell>
          <cell r="G790">
            <v>6</v>
          </cell>
        </row>
        <row r="791">
          <cell r="A791" t="str">
            <v>BGD</v>
          </cell>
          <cell r="B791" t="str">
            <v>Long</v>
          </cell>
          <cell r="C791" t="str">
            <v>2005 - 2022</v>
          </cell>
          <cell r="D791" t="str">
            <v>reg_iter</v>
          </cell>
          <cell r="E791" t="str">
            <v>lfprod_s0_a2</v>
          </cell>
          <cell r="F791">
            <v>-1.5371412038803101</v>
          </cell>
          <cell r="G791">
            <v>6</v>
          </cell>
        </row>
        <row r="792">
          <cell r="A792" t="str">
            <v>BGD</v>
          </cell>
          <cell r="B792" t="str">
            <v>Long</v>
          </cell>
          <cell r="C792" t="str">
            <v>2005 - 2022</v>
          </cell>
          <cell r="D792" t="str">
            <v>reg_iter</v>
          </cell>
          <cell r="E792" t="str">
            <v>lfprod_s0_a3</v>
          </cell>
          <cell r="F792">
            <v>4.2406229972839355</v>
          </cell>
          <cell r="G792">
            <v>6</v>
          </cell>
        </row>
        <row r="793">
          <cell r="A793" t="str">
            <v>BGD</v>
          </cell>
          <cell r="B793" t="str">
            <v>Long</v>
          </cell>
          <cell r="C793" t="str">
            <v>2005 - 2022</v>
          </cell>
          <cell r="D793" t="str">
            <v>reg_iter</v>
          </cell>
          <cell r="E793" t="str">
            <v>lfprod_s0_a4</v>
          </cell>
          <cell r="F793">
            <v>-1.719660758972168</v>
          </cell>
          <cell r="G793">
            <v>6</v>
          </cell>
        </row>
        <row r="794">
          <cell r="A794" t="str">
            <v>BGD</v>
          </cell>
          <cell r="B794" t="str">
            <v>Long</v>
          </cell>
          <cell r="C794" t="str">
            <v>2005 - 2022</v>
          </cell>
          <cell r="D794" t="str">
            <v>reg_iter</v>
          </cell>
          <cell r="E794" t="str">
            <v>lfprod_s0_a5</v>
          </cell>
          <cell r="F794">
            <v>-1.6888682842254639</v>
          </cell>
          <cell r="G794">
            <v>6</v>
          </cell>
        </row>
        <row r="795">
          <cell r="A795" t="str">
            <v>BGD</v>
          </cell>
          <cell r="B795" t="str">
            <v>Long</v>
          </cell>
          <cell r="C795" t="str">
            <v>2005 - 2022</v>
          </cell>
          <cell r="D795" t="str">
            <v>reg_iter</v>
          </cell>
          <cell r="E795" t="str">
            <v>lfprod_s0_a6</v>
          </cell>
          <cell r="F795">
            <v>0.45830196142196655</v>
          </cell>
          <cell r="G795">
            <v>6</v>
          </cell>
        </row>
        <row r="796">
          <cell r="A796" t="str">
            <v>BGD</v>
          </cell>
          <cell r="B796" t="str">
            <v>Long</v>
          </cell>
          <cell r="C796" t="str">
            <v>2005 - 2022</v>
          </cell>
          <cell r="D796" t="str">
            <v>reg_iter</v>
          </cell>
          <cell r="E796" t="str">
            <v>lfprod_s1_a1</v>
          </cell>
          <cell r="F796">
            <v>-1.5199037790298462</v>
          </cell>
          <cell r="G796">
            <v>6</v>
          </cell>
        </row>
        <row r="797">
          <cell r="A797" t="str">
            <v>BGD</v>
          </cell>
          <cell r="B797" t="str">
            <v>Long</v>
          </cell>
          <cell r="C797" t="str">
            <v>2005 - 2022</v>
          </cell>
          <cell r="D797" t="str">
            <v>reg_iter</v>
          </cell>
          <cell r="E797" t="str">
            <v>lfprod_s1_a2</v>
          </cell>
          <cell r="F797">
            <v>-2.4586539268493652</v>
          </cell>
          <cell r="G797">
            <v>6</v>
          </cell>
        </row>
        <row r="798">
          <cell r="A798" t="str">
            <v>BGD</v>
          </cell>
          <cell r="B798" t="str">
            <v>Long</v>
          </cell>
          <cell r="C798" t="str">
            <v>2005 - 2022</v>
          </cell>
          <cell r="D798" t="str">
            <v>reg_iter</v>
          </cell>
          <cell r="E798" t="str">
            <v>lfprod_s1_a3</v>
          </cell>
          <cell r="F798">
            <v>20.259532928466797</v>
          </cell>
          <cell r="G798">
            <v>6</v>
          </cell>
        </row>
        <row r="799">
          <cell r="A799" t="str">
            <v>BGD</v>
          </cell>
          <cell r="B799" t="str">
            <v>Long</v>
          </cell>
          <cell r="C799" t="str">
            <v>2005 - 2022</v>
          </cell>
          <cell r="D799" t="str">
            <v>reg_iter</v>
          </cell>
          <cell r="E799" t="str">
            <v>lfprod_s1_a4</v>
          </cell>
          <cell r="F799">
            <v>0.55742359161376953</v>
          </cell>
          <cell r="G799">
            <v>6</v>
          </cell>
        </row>
        <row r="800">
          <cell r="A800" t="str">
            <v>BGD</v>
          </cell>
          <cell r="B800" t="str">
            <v>Long</v>
          </cell>
          <cell r="C800" t="str">
            <v>2005 - 2022</v>
          </cell>
          <cell r="D800" t="str">
            <v>reg_iter</v>
          </cell>
          <cell r="E800" t="str">
            <v>lfprod_s1_a5</v>
          </cell>
          <cell r="F800">
            <v>1.0277731418609619</v>
          </cell>
          <cell r="G800">
            <v>6</v>
          </cell>
        </row>
        <row r="801">
          <cell r="A801" t="str">
            <v>BGD</v>
          </cell>
          <cell r="B801" t="str">
            <v>Long</v>
          </cell>
          <cell r="C801" t="str">
            <v>2005 - 2022</v>
          </cell>
          <cell r="D801" t="str">
            <v>reg_iter</v>
          </cell>
          <cell r="E801" t="str">
            <v>lfprod_s1_a6</v>
          </cell>
          <cell r="F801">
            <v>-0.80492007732391357</v>
          </cell>
          <cell r="G801">
            <v>6</v>
          </cell>
        </row>
        <row r="802">
          <cell r="A802" t="str">
            <v>BGD</v>
          </cell>
          <cell r="B802" t="str">
            <v>Middle</v>
          </cell>
          <cell r="C802" t="str">
            <v>2010 - 2022</v>
          </cell>
          <cell r="D802" t="str">
            <v>avg</v>
          </cell>
          <cell r="E802" t="str">
            <v>lfls12_S0_A0</v>
          </cell>
          <cell r="F802">
            <v>0.34328985214233398</v>
          </cell>
          <cell r="G802">
            <v>6</v>
          </cell>
        </row>
        <row r="803">
          <cell r="A803" t="str">
            <v>BGD</v>
          </cell>
          <cell r="B803" t="str">
            <v>Middle</v>
          </cell>
          <cell r="C803" t="str">
            <v>2010 - 2022</v>
          </cell>
          <cell r="D803" t="str">
            <v>avg</v>
          </cell>
          <cell r="E803" t="str">
            <v>lfls1_S0_A0</v>
          </cell>
          <cell r="F803">
            <v>0.33396664261817932</v>
          </cell>
          <cell r="G803">
            <v>6</v>
          </cell>
        </row>
        <row r="804">
          <cell r="A804" t="str">
            <v>BGD</v>
          </cell>
          <cell r="B804" t="str">
            <v>Middle</v>
          </cell>
          <cell r="C804" t="str">
            <v>2010 - 2022</v>
          </cell>
          <cell r="D804" t="str">
            <v>avg</v>
          </cell>
          <cell r="E804" t="str">
            <v>lfls1_S0_a1</v>
          </cell>
          <cell r="F804">
            <v>0.30467352271080017</v>
          </cell>
          <cell r="G804">
            <v>6</v>
          </cell>
        </row>
        <row r="805">
          <cell r="A805" t="str">
            <v>BGD</v>
          </cell>
          <cell r="B805" t="str">
            <v>Middle</v>
          </cell>
          <cell r="C805" t="str">
            <v>2010 - 2022</v>
          </cell>
          <cell r="D805" t="str">
            <v>avg</v>
          </cell>
          <cell r="E805" t="str">
            <v>lfls1_S0_a2</v>
          </cell>
          <cell r="F805">
            <v>0.90648150444030762</v>
          </cell>
          <cell r="G805">
            <v>6</v>
          </cell>
        </row>
        <row r="806">
          <cell r="A806" t="str">
            <v>BGD</v>
          </cell>
          <cell r="B806" t="str">
            <v>Middle</v>
          </cell>
          <cell r="C806" t="str">
            <v>2010 - 2022</v>
          </cell>
          <cell r="D806" t="str">
            <v>avg</v>
          </cell>
          <cell r="E806" t="str">
            <v>lfls1_S0_a3</v>
          </cell>
          <cell r="F806">
            <v>0.27544772624969482</v>
          </cell>
          <cell r="G806">
            <v>6</v>
          </cell>
        </row>
        <row r="807">
          <cell r="A807" t="str">
            <v>BGD</v>
          </cell>
          <cell r="B807" t="str">
            <v>Middle</v>
          </cell>
          <cell r="C807" t="str">
            <v>2010 - 2022</v>
          </cell>
          <cell r="D807" t="str">
            <v>avg</v>
          </cell>
          <cell r="E807" t="str">
            <v>lfls1_S0_a4</v>
          </cell>
          <cell r="F807">
            <v>0.21466565132141113</v>
          </cell>
          <cell r="G807">
            <v>6</v>
          </cell>
        </row>
        <row r="808">
          <cell r="A808" t="str">
            <v>BGD</v>
          </cell>
          <cell r="B808" t="str">
            <v>Middle</v>
          </cell>
          <cell r="C808" t="str">
            <v>2010 - 2022</v>
          </cell>
          <cell r="D808" t="str">
            <v>avg</v>
          </cell>
          <cell r="E808" t="str">
            <v>lfls1_S0_a5</v>
          </cell>
          <cell r="F808">
            <v>0.35478994250297546</v>
          </cell>
          <cell r="G808">
            <v>6</v>
          </cell>
        </row>
        <row r="809">
          <cell r="A809" t="str">
            <v>BGD</v>
          </cell>
          <cell r="B809" t="str">
            <v>Middle</v>
          </cell>
          <cell r="C809" t="str">
            <v>2010 - 2022</v>
          </cell>
          <cell r="D809" t="str">
            <v>avg</v>
          </cell>
          <cell r="E809" t="str">
            <v>lfls1_S0_a6</v>
          </cell>
          <cell r="F809">
            <v>0.53362047672271729</v>
          </cell>
          <cell r="G809">
            <v>6</v>
          </cell>
        </row>
        <row r="810">
          <cell r="A810" t="str">
            <v>BGD</v>
          </cell>
          <cell r="B810" t="str">
            <v>Middle</v>
          </cell>
          <cell r="C810" t="str">
            <v>2010 - 2022</v>
          </cell>
          <cell r="D810" t="str">
            <v>avg</v>
          </cell>
          <cell r="E810" t="str">
            <v>lfls1_s0_A0</v>
          </cell>
          <cell r="F810">
            <v>0.42584556341171265</v>
          </cell>
          <cell r="G810">
            <v>6</v>
          </cell>
        </row>
        <row r="811">
          <cell r="A811" t="str">
            <v>BGD</v>
          </cell>
          <cell r="B811" t="str">
            <v>Middle</v>
          </cell>
          <cell r="C811" t="str">
            <v>2010 - 2022</v>
          </cell>
          <cell r="D811" t="str">
            <v>avg</v>
          </cell>
          <cell r="E811" t="str">
            <v>lfls1_s0_a1</v>
          </cell>
          <cell r="F811">
            <v>2.3513119220733643</v>
          </cell>
          <cell r="G811">
            <v>6</v>
          </cell>
        </row>
        <row r="812">
          <cell r="A812" t="str">
            <v>BGD</v>
          </cell>
          <cell r="B812" t="str">
            <v>Middle</v>
          </cell>
          <cell r="C812" t="str">
            <v>2010 - 2022</v>
          </cell>
          <cell r="D812" t="str">
            <v>avg</v>
          </cell>
          <cell r="E812" t="str">
            <v>lfls1_s0_a2</v>
          </cell>
          <cell r="F812">
            <v>0.94259905815124512</v>
          </cell>
          <cell r="G812">
            <v>6</v>
          </cell>
        </row>
        <row r="813">
          <cell r="A813" t="str">
            <v>BGD</v>
          </cell>
          <cell r="B813" t="str">
            <v>Middle</v>
          </cell>
          <cell r="C813" t="str">
            <v>2010 - 2022</v>
          </cell>
          <cell r="D813" t="str">
            <v>avg</v>
          </cell>
          <cell r="E813" t="str">
            <v>lfls1_s0_a3</v>
          </cell>
          <cell r="F813">
            <v>0.22817029058933258</v>
          </cell>
          <cell r="G813">
            <v>6</v>
          </cell>
        </row>
        <row r="814">
          <cell r="A814" t="str">
            <v>BGD</v>
          </cell>
          <cell r="B814" t="str">
            <v>Middle</v>
          </cell>
          <cell r="C814" t="str">
            <v>2010 - 2022</v>
          </cell>
          <cell r="D814" t="str">
            <v>avg</v>
          </cell>
          <cell r="E814" t="str">
            <v>lfls1_s0_a4</v>
          </cell>
          <cell r="F814">
            <v>0.18383301794528961</v>
          </cell>
          <cell r="G814">
            <v>6</v>
          </cell>
        </row>
        <row r="815">
          <cell r="A815" t="str">
            <v>BGD</v>
          </cell>
          <cell r="B815" t="str">
            <v>Middle</v>
          </cell>
          <cell r="C815" t="str">
            <v>2010 - 2022</v>
          </cell>
          <cell r="D815" t="str">
            <v>avg</v>
          </cell>
          <cell r="E815" t="str">
            <v>lfls1_s0_a5</v>
          </cell>
          <cell r="F815">
            <v>0.43845474720001221</v>
          </cell>
          <cell r="G815">
            <v>6</v>
          </cell>
        </row>
        <row r="816">
          <cell r="A816" t="str">
            <v>BGD</v>
          </cell>
          <cell r="B816" t="str">
            <v>Middle</v>
          </cell>
          <cell r="C816" t="str">
            <v>2010 - 2022</v>
          </cell>
          <cell r="D816" t="str">
            <v>avg</v>
          </cell>
          <cell r="E816" t="str">
            <v>lfls1_s0_a6</v>
          </cell>
          <cell r="F816">
            <v>0.35996052622795105</v>
          </cell>
          <cell r="G816">
            <v>6</v>
          </cell>
        </row>
        <row r="817">
          <cell r="A817" t="str">
            <v>BGD</v>
          </cell>
          <cell r="B817" t="str">
            <v>Middle</v>
          </cell>
          <cell r="C817" t="str">
            <v>2010 - 2022</v>
          </cell>
          <cell r="D817" t="str">
            <v>avg</v>
          </cell>
          <cell r="E817" t="str">
            <v>lfls1_s1_A0</v>
          </cell>
          <cell r="F817">
            <v>1.1051839590072632</v>
          </cell>
          <cell r="G817">
            <v>6</v>
          </cell>
        </row>
        <row r="818">
          <cell r="A818" t="str">
            <v>BGD</v>
          </cell>
          <cell r="B818" t="str">
            <v>Middle</v>
          </cell>
          <cell r="C818" t="str">
            <v>2010 - 2022</v>
          </cell>
          <cell r="D818" t="str">
            <v>avg</v>
          </cell>
          <cell r="E818" t="str">
            <v>lfls1_s1_a1</v>
          </cell>
          <cell r="F818">
            <v>2.8441412448883057</v>
          </cell>
          <cell r="G818">
            <v>6</v>
          </cell>
        </row>
        <row r="819">
          <cell r="A819" t="str">
            <v>BGD</v>
          </cell>
          <cell r="B819" t="str">
            <v>Middle</v>
          </cell>
          <cell r="C819" t="str">
            <v>2010 - 2022</v>
          </cell>
          <cell r="D819" t="str">
            <v>avg</v>
          </cell>
          <cell r="E819" t="str">
            <v>lfls1_s1_a2</v>
          </cell>
          <cell r="F819">
            <v>0.73086363077163696</v>
          </cell>
          <cell r="G819">
            <v>6</v>
          </cell>
        </row>
        <row r="820">
          <cell r="A820" t="str">
            <v>BGD</v>
          </cell>
          <cell r="B820" t="str">
            <v>Middle</v>
          </cell>
          <cell r="C820" t="str">
            <v>2010 - 2022</v>
          </cell>
          <cell r="D820" t="str">
            <v>avg</v>
          </cell>
          <cell r="E820" t="str">
            <v>lfls1_s1_a3</v>
          </cell>
          <cell r="F820">
            <v>1.2905048131942749</v>
          </cell>
          <cell r="G820">
            <v>6</v>
          </cell>
        </row>
        <row r="821">
          <cell r="A821" t="str">
            <v>BGD</v>
          </cell>
          <cell r="B821" t="str">
            <v>Middle</v>
          </cell>
          <cell r="C821" t="str">
            <v>2010 - 2022</v>
          </cell>
          <cell r="D821" t="str">
            <v>avg</v>
          </cell>
          <cell r="E821" t="str">
            <v>lfls1_s1_a4</v>
          </cell>
          <cell r="F821">
            <v>1.6173309087753296</v>
          </cell>
          <cell r="G821">
            <v>6</v>
          </cell>
        </row>
        <row r="822">
          <cell r="A822" t="str">
            <v>BGD</v>
          </cell>
          <cell r="B822" t="str">
            <v>Middle</v>
          </cell>
          <cell r="C822" t="str">
            <v>2010 - 2022</v>
          </cell>
          <cell r="D822" t="str">
            <v>avg</v>
          </cell>
          <cell r="E822" t="str">
            <v>lfls1_s1_a5</v>
          </cell>
          <cell r="F822">
            <v>0.33024144172668457</v>
          </cell>
          <cell r="G822">
            <v>6</v>
          </cell>
        </row>
        <row r="823">
          <cell r="A823" t="str">
            <v>BGD</v>
          </cell>
          <cell r="B823" t="str">
            <v>Middle</v>
          </cell>
          <cell r="C823" t="str">
            <v>2010 - 2022</v>
          </cell>
          <cell r="D823" t="str">
            <v>avg</v>
          </cell>
          <cell r="E823" t="str">
            <v>lfls1_s1_a6</v>
          </cell>
          <cell r="F823">
            <v>1.4048335552215576</v>
          </cell>
          <cell r="G823">
            <v>6</v>
          </cell>
        </row>
        <row r="824">
          <cell r="A824" t="str">
            <v>BGD</v>
          </cell>
          <cell r="B824" t="str">
            <v>Middle</v>
          </cell>
          <cell r="C824" t="str">
            <v>2010 - 2022</v>
          </cell>
          <cell r="D824" t="str">
            <v>avg</v>
          </cell>
          <cell r="E824" t="str">
            <v>lfprod_s0_a1</v>
          </cell>
          <cell r="F824">
            <v>1.0009294748306274</v>
          </cell>
          <cell r="G824">
            <v>6</v>
          </cell>
        </row>
        <row r="825">
          <cell r="A825" t="str">
            <v>BGD</v>
          </cell>
          <cell r="B825" t="str">
            <v>Middle</v>
          </cell>
          <cell r="C825" t="str">
            <v>2010 - 2022</v>
          </cell>
          <cell r="D825" t="str">
            <v>avg</v>
          </cell>
          <cell r="E825" t="str">
            <v>lfprod_s0_a2</v>
          </cell>
          <cell r="F825">
            <v>1.3129298167768866E-4</v>
          </cell>
          <cell r="G825">
            <v>6</v>
          </cell>
        </row>
        <row r="826">
          <cell r="A826" t="str">
            <v>BGD</v>
          </cell>
          <cell r="B826" t="str">
            <v>Middle</v>
          </cell>
          <cell r="C826" t="str">
            <v>2010 - 2022</v>
          </cell>
          <cell r="D826" t="str">
            <v>avg</v>
          </cell>
          <cell r="E826" t="str">
            <v>lfprod_s0_a3</v>
          </cell>
          <cell r="F826">
            <v>-0.59776830673217773</v>
          </cell>
          <cell r="G826">
            <v>6</v>
          </cell>
        </row>
        <row r="827">
          <cell r="A827" t="str">
            <v>BGD</v>
          </cell>
          <cell r="B827" t="str">
            <v>Middle</v>
          </cell>
          <cell r="C827" t="str">
            <v>2010 - 2022</v>
          </cell>
          <cell r="D827" t="str">
            <v>avg</v>
          </cell>
          <cell r="E827" t="str">
            <v>lfprod_s0_a4</v>
          </cell>
          <cell r="F827">
            <v>-0.74564176797866821</v>
          </cell>
          <cell r="G827">
            <v>6</v>
          </cell>
        </row>
        <row r="828">
          <cell r="A828" t="str">
            <v>BGD</v>
          </cell>
          <cell r="B828" t="str">
            <v>Middle</v>
          </cell>
          <cell r="C828" t="str">
            <v>2010 - 2022</v>
          </cell>
          <cell r="D828" t="str">
            <v>avg</v>
          </cell>
          <cell r="E828" t="str">
            <v>lfprod_s0_a5</v>
          </cell>
          <cell r="F828">
            <v>-0.52462530136108398</v>
          </cell>
          <cell r="G828">
            <v>6</v>
          </cell>
        </row>
        <row r="829">
          <cell r="A829" t="str">
            <v>BGD</v>
          </cell>
          <cell r="B829" t="str">
            <v>Middle</v>
          </cell>
          <cell r="C829" t="str">
            <v>2010 - 2022</v>
          </cell>
          <cell r="D829" t="str">
            <v>avg</v>
          </cell>
          <cell r="E829" t="str">
            <v>lfprod_s0_a6</v>
          </cell>
          <cell r="F829">
            <v>-0.51605093479156494</v>
          </cell>
          <cell r="G829">
            <v>6</v>
          </cell>
        </row>
        <row r="830">
          <cell r="A830" t="str">
            <v>BGD</v>
          </cell>
          <cell r="B830" t="str">
            <v>Middle</v>
          </cell>
          <cell r="C830" t="str">
            <v>2010 - 2022</v>
          </cell>
          <cell r="D830" t="str">
            <v>avg</v>
          </cell>
          <cell r="E830" t="str">
            <v>lfprod_s1_a1</v>
          </cell>
          <cell r="F830">
            <v>1.7518855333328247</v>
          </cell>
          <cell r="G830">
            <v>6</v>
          </cell>
        </row>
        <row r="831">
          <cell r="A831" t="str">
            <v>BGD</v>
          </cell>
          <cell r="B831" t="str">
            <v>Middle</v>
          </cell>
          <cell r="C831" t="str">
            <v>2010 - 2022</v>
          </cell>
          <cell r="D831" t="str">
            <v>avg</v>
          </cell>
          <cell r="E831" t="str">
            <v>lfprod_s1_a2</v>
          </cell>
          <cell r="F831">
            <v>-0.20052364468574524</v>
          </cell>
          <cell r="G831">
            <v>6</v>
          </cell>
        </row>
        <row r="832">
          <cell r="A832" t="str">
            <v>BGD</v>
          </cell>
          <cell r="B832" t="str">
            <v>Middle</v>
          </cell>
          <cell r="C832" t="str">
            <v>2010 - 2022</v>
          </cell>
          <cell r="D832" t="str">
            <v>avg</v>
          </cell>
          <cell r="E832" t="str">
            <v>lfprod_s1_a3</v>
          </cell>
          <cell r="F832">
            <v>0.32712081074714661</v>
          </cell>
          <cell r="G832">
            <v>6</v>
          </cell>
        </row>
        <row r="833">
          <cell r="A833" t="str">
            <v>BGD</v>
          </cell>
          <cell r="B833" t="str">
            <v>Middle</v>
          </cell>
          <cell r="C833" t="str">
            <v>2010 - 2022</v>
          </cell>
          <cell r="D833" t="str">
            <v>avg</v>
          </cell>
          <cell r="E833" t="str">
            <v>lfprod_s1_a4</v>
          </cell>
          <cell r="F833">
            <v>0.49214959144592285</v>
          </cell>
          <cell r="G833">
            <v>6</v>
          </cell>
        </row>
        <row r="834">
          <cell r="A834" t="str">
            <v>BGD</v>
          </cell>
          <cell r="B834" t="str">
            <v>Middle</v>
          </cell>
          <cell r="C834" t="str">
            <v>2010 - 2022</v>
          </cell>
          <cell r="D834" t="str">
            <v>avg</v>
          </cell>
          <cell r="E834" t="str">
            <v>lfprod_s1_a5</v>
          </cell>
          <cell r="F834">
            <v>-0.53558039665222168</v>
          </cell>
          <cell r="G834">
            <v>6</v>
          </cell>
        </row>
        <row r="835">
          <cell r="A835" t="str">
            <v>BGD</v>
          </cell>
          <cell r="B835" t="str">
            <v>Middle</v>
          </cell>
          <cell r="C835" t="str">
            <v>2010 - 2022</v>
          </cell>
          <cell r="D835" t="str">
            <v>avg</v>
          </cell>
          <cell r="E835" t="str">
            <v>lfprod_s1_a6</v>
          </cell>
          <cell r="F835">
            <v>0.31879907846450806</v>
          </cell>
          <cell r="G835">
            <v>6</v>
          </cell>
        </row>
        <row r="836">
          <cell r="A836" t="str">
            <v>BGD</v>
          </cell>
          <cell r="B836" t="str">
            <v>Middle</v>
          </cell>
          <cell r="C836" t="str">
            <v>2010 - 2022</v>
          </cell>
          <cell r="D836" t="str">
            <v>avg_1_99</v>
          </cell>
          <cell r="E836" t="str">
            <v>lfls12_S0_A0</v>
          </cell>
          <cell r="F836">
            <v>0.37168604135513306</v>
          </cell>
          <cell r="G836">
            <v>6</v>
          </cell>
        </row>
        <row r="837">
          <cell r="A837" t="str">
            <v>BGD</v>
          </cell>
          <cell r="B837" t="str">
            <v>Middle</v>
          </cell>
          <cell r="C837" t="str">
            <v>2010 - 2022</v>
          </cell>
          <cell r="D837" t="str">
            <v>avg_1_99</v>
          </cell>
          <cell r="E837" t="str">
            <v>lfls1_S0_A0</v>
          </cell>
          <cell r="F837">
            <v>0.34859895706176758</v>
          </cell>
          <cell r="G837">
            <v>6</v>
          </cell>
        </row>
        <row r="838">
          <cell r="A838" t="str">
            <v>BGD</v>
          </cell>
          <cell r="B838" t="str">
            <v>Middle</v>
          </cell>
          <cell r="C838" t="str">
            <v>2010 - 2022</v>
          </cell>
          <cell r="D838" t="str">
            <v>avg_1_99</v>
          </cell>
          <cell r="E838" t="str">
            <v>lfls1_S0_a1</v>
          </cell>
          <cell r="F838">
            <v>0.36857318878173828</v>
          </cell>
          <cell r="G838">
            <v>6</v>
          </cell>
        </row>
        <row r="839">
          <cell r="A839" t="str">
            <v>BGD</v>
          </cell>
          <cell r="B839" t="str">
            <v>Middle</v>
          </cell>
          <cell r="C839" t="str">
            <v>2010 - 2022</v>
          </cell>
          <cell r="D839" t="str">
            <v>avg_1_99</v>
          </cell>
          <cell r="E839" t="str">
            <v>lfls1_S0_a2</v>
          </cell>
          <cell r="F839">
            <v>0.68271607160568237</v>
          </cell>
          <cell r="G839">
            <v>6</v>
          </cell>
        </row>
        <row r="840">
          <cell r="A840" t="str">
            <v>BGD</v>
          </cell>
          <cell r="B840" t="str">
            <v>Middle</v>
          </cell>
          <cell r="C840" t="str">
            <v>2010 - 2022</v>
          </cell>
          <cell r="D840" t="str">
            <v>avg_1_99</v>
          </cell>
          <cell r="E840" t="str">
            <v>lfls1_S0_a3</v>
          </cell>
          <cell r="F840">
            <v>0.20924188196659088</v>
          </cell>
          <cell r="G840">
            <v>6</v>
          </cell>
        </row>
        <row r="841">
          <cell r="A841" t="str">
            <v>BGD</v>
          </cell>
          <cell r="B841" t="str">
            <v>Middle</v>
          </cell>
          <cell r="C841" t="str">
            <v>2010 - 2022</v>
          </cell>
          <cell r="D841" t="str">
            <v>avg_1_99</v>
          </cell>
          <cell r="E841" t="str">
            <v>lfls1_S0_a4</v>
          </cell>
          <cell r="F841">
            <v>6.3041701912879944E-2</v>
          </cell>
          <cell r="G841">
            <v>6</v>
          </cell>
        </row>
        <row r="842">
          <cell r="A842" t="str">
            <v>BGD</v>
          </cell>
          <cell r="B842" t="str">
            <v>Middle</v>
          </cell>
          <cell r="C842" t="str">
            <v>2010 - 2022</v>
          </cell>
          <cell r="D842" t="str">
            <v>avg_1_99</v>
          </cell>
          <cell r="E842" t="str">
            <v>lfls1_S0_a5</v>
          </cell>
          <cell r="F842">
            <v>0.51822394132614136</v>
          </cell>
          <cell r="G842">
            <v>6</v>
          </cell>
        </row>
        <row r="843">
          <cell r="A843" t="str">
            <v>BGD</v>
          </cell>
          <cell r="B843" t="str">
            <v>Middle</v>
          </cell>
          <cell r="C843" t="str">
            <v>2010 - 2022</v>
          </cell>
          <cell r="D843" t="str">
            <v>avg_1_99</v>
          </cell>
          <cell r="E843" t="str">
            <v>lfls1_S0_a6</v>
          </cell>
          <cell r="F843">
            <v>0.49506542086601257</v>
          </cell>
          <cell r="G843">
            <v>6</v>
          </cell>
        </row>
        <row r="844">
          <cell r="A844" t="str">
            <v>BGD</v>
          </cell>
          <cell r="B844" t="str">
            <v>Middle</v>
          </cell>
          <cell r="C844" t="str">
            <v>2010 - 2022</v>
          </cell>
          <cell r="D844" t="str">
            <v>avg_1_99</v>
          </cell>
          <cell r="E844" t="str">
            <v>lfls1_s0_A0</v>
          </cell>
          <cell r="F844">
            <v>0.64339053630828857</v>
          </cell>
          <cell r="G844">
            <v>6</v>
          </cell>
        </row>
        <row r="845">
          <cell r="A845" t="str">
            <v>BGD</v>
          </cell>
          <cell r="B845" t="str">
            <v>Middle</v>
          </cell>
          <cell r="C845" t="str">
            <v>2010 - 2022</v>
          </cell>
          <cell r="D845" t="str">
            <v>avg_1_99</v>
          </cell>
          <cell r="E845" t="str">
            <v>lfls1_s0_a1</v>
          </cell>
          <cell r="F845">
            <v>3.2931687831878662</v>
          </cell>
          <cell r="G845">
            <v>6</v>
          </cell>
        </row>
        <row r="846">
          <cell r="A846" t="str">
            <v>BGD</v>
          </cell>
          <cell r="B846" t="str">
            <v>Middle</v>
          </cell>
          <cell r="C846" t="str">
            <v>2010 - 2022</v>
          </cell>
          <cell r="D846" t="str">
            <v>avg_1_99</v>
          </cell>
          <cell r="E846" t="str">
            <v>lfls1_s0_a2</v>
          </cell>
          <cell r="F846">
            <v>0.69580280780792236</v>
          </cell>
          <cell r="G846">
            <v>6</v>
          </cell>
        </row>
        <row r="847">
          <cell r="A847" t="str">
            <v>BGD</v>
          </cell>
          <cell r="B847" t="str">
            <v>Middle</v>
          </cell>
          <cell r="C847" t="str">
            <v>2010 - 2022</v>
          </cell>
          <cell r="D847" t="str">
            <v>avg_1_99</v>
          </cell>
          <cell r="E847" t="str">
            <v>lfls1_s0_a3</v>
          </cell>
          <cell r="F847">
            <v>0.22335360944271088</v>
          </cell>
          <cell r="G847">
            <v>6</v>
          </cell>
        </row>
        <row r="848">
          <cell r="A848" t="str">
            <v>BGD</v>
          </cell>
          <cell r="B848" t="str">
            <v>Middle</v>
          </cell>
          <cell r="C848" t="str">
            <v>2010 - 2022</v>
          </cell>
          <cell r="D848" t="str">
            <v>avg_1_99</v>
          </cell>
          <cell r="E848" t="str">
            <v>lfls1_s0_a4</v>
          </cell>
          <cell r="F848">
            <v>4.4012106955051422E-2</v>
          </cell>
          <cell r="G848">
            <v>6</v>
          </cell>
        </row>
        <row r="849">
          <cell r="A849" t="str">
            <v>BGD</v>
          </cell>
          <cell r="B849" t="str">
            <v>Middle</v>
          </cell>
          <cell r="C849" t="str">
            <v>2010 - 2022</v>
          </cell>
          <cell r="D849" t="str">
            <v>avg_1_99</v>
          </cell>
          <cell r="E849" t="str">
            <v>lfls1_s0_a5</v>
          </cell>
          <cell r="F849">
            <v>0.48828864097595215</v>
          </cell>
          <cell r="G849">
            <v>6</v>
          </cell>
        </row>
        <row r="850">
          <cell r="A850" t="str">
            <v>BGD</v>
          </cell>
          <cell r="B850" t="str">
            <v>Middle</v>
          </cell>
          <cell r="C850" t="str">
            <v>2010 - 2022</v>
          </cell>
          <cell r="D850" t="str">
            <v>avg_1_99</v>
          </cell>
          <cell r="E850" t="str">
            <v>lfls1_s0_a6</v>
          </cell>
          <cell r="F850">
            <v>0.37305942177772522</v>
          </cell>
          <cell r="G850">
            <v>6</v>
          </cell>
        </row>
        <row r="851">
          <cell r="A851" t="str">
            <v>BGD</v>
          </cell>
          <cell r="B851" t="str">
            <v>Middle</v>
          </cell>
          <cell r="C851" t="str">
            <v>2010 - 2022</v>
          </cell>
          <cell r="D851" t="str">
            <v>avg_1_99</v>
          </cell>
          <cell r="E851" t="str">
            <v>lfls1_s1_A0</v>
          </cell>
          <cell r="F851">
            <v>-0.17981986701488495</v>
          </cell>
          <cell r="G851">
            <v>6</v>
          </cell>
        </row>
        <row r="852">
          <cell r="A852" t="str">
            <v>BGD</v>
          </cell>
          <cell r="B852" t="str">
            <v>Middle</v>
          </cell>
          <cell r="C852" t="str">
            <v>2010 - 2022</v>
          </cell>
          <cell r="D852" t="str">
            <v>avg_1_99</v>
          </cell>
          <cell r="E852" t="str">
            <v>lfls1_s1_a1</v>
          </cell>
          <cell r="F852">
            <v>-0.84124022722244263</v>
          </cell>
          <cell r="G852">
            <v>6</v>
          </cell>
        </row>
        <row r="853">
          <cell r="A853" t="str">
            <v>BGD</v>
          </cell>
          <cell r="B853" t="str">
            <v>Middle</v>
          </cell>
          <cell r="C853" t="str">
            <v>2010 - 2022</v>
          </cell>
          <cell r="D853" t="str">
            <v>avg_1_99</v>
          </cell>
          <cell r="E853" t="str">
            <v>lfls1_s1_a2</v>
          </cell>
          <cell r="F853">
            <v>0.43118780851364136</v>
          </cell>
          <cell r="G853">
            <v>6</v>
          </cell>
        </row>
        <row r="854">
          <cell r="A854" t="str">
            <v>BGD</v>
          </cell>
          <cell r="B854" t="str">
            <v>Middle</v>
          </cell>
          <cell r="C854" t="str">
            <v>2010 - 2022</v>
          </cell>
          <cell r="D854" t="str">
            <v>avg_1_99</v>
          </cell>
          <cell r="E854" t="str">
            <v>lfls1_s1_a3</v>
          </cell>
          <cell r="F854">
            <v>0.97328394651412964</v>
          </cell>
          <cell r="G854">
            <v>6</v>
          </cell>
        </row>
        <row r="855">
          <cell r="A855" t="str">
            <v>BGD</v>
          </cell>
          <cell r="B855" t="str">
            <v>Middle</v>
          </cell>
          <cell r="C855" t="str">
            <v>2010 - 2022</v>
          </cell>
          <cell r="D855" t="str">
            <v>avg_1_99</v>
          </cell>
          <cell r="E855" t="str">
            <v>lfls1_s1_a4</v>
          </cell>
          <cell r="F855">
            <v>1.4714318513870239</v>
          </cell>
          <cell r="G855">
            <v>6</v>
          </cell>
        </row>
        <row r="856">
          <cell r="A856" t="str">
            <v>BGD</v>
          </cell>
          <cell r="B856" t="str">
            <v>Middle</v>
          </cell>
          <cell r="C856" t="str">
            <v>2010 - 2022</v>
          </cell>
          <cell r="D856" t="str">
            <v>avg_1_99</v>
          </cell>
          <cell r="E856" t="str">
            <v>lfls1_s1_a5</v>
          </cell>
          <cell r="F856">
            <v>0.32459321618080139</v>
          </cell>
          <cell r="G856">
            <v>6</v>
          </cell>
        </row>
        <row r="857">
          <cell r="A857" t="str">
            <v>BGD</v>
          </cell>
          <cell r="B857" t="str">
            <v>Middle</v>
          </cell>
          <cell r="C857" t="str">
            <v>2010 - 2022</v>
          </cell>
          <cell r="D857" t="str">
            <v>avg_1_99</v>
          </cell>
          <cell r="E857" t="str">
            <v>lfls1_s1_a6</v>
          </cell>
          <cell r="F857">
            <v>1.3245351314544678</v>
          </cell>
          <cell r="G857">
            <v>6</v>
          </cell>
        </row>
        <row r="858">
          <cell r="A858" t="str">
            <v>BGD</v>
          </cell>
          <cell r="B858" t="str">
            <v>Middle</v>
          </cell>
          <cell r="C858" t="str">
            <v>2010 - 2022</v>
          </cell>
          <cell r="D858" t="str">
            <v>avg_1_99</v>
          </cell>
          <cell r="E858" t="str">
            <v>lfprod_s0_a1</v>
          </cell>
          <cell r="F858">
            <v>1.9258879423141479</v>
          </cell>
          <cell r="G858">
            <v>6</v>
          </cell>
        </row>
        <row r="859">
          <cell r="A859" t="str">
            <v>BGD</v>
          </cell>
          <cell r="B859" t="str">
            <v>Middle</v>
          </cell>
          <cell r="C859" t="str">
            <v>2010 - 2022</v>
          </cell>
          <cell r="D859" t="str">
            <v>avg_1_99</v>
          </cell>
          <cell r="E859" t="str">
            <v>lfprod_s0_a2</v>
          </cell>
          <cell r="F859">
            <v>-0.21003749966621399</v>
          </cell>
          <cell r="G859">
            <v>6</v>
          </cell>
        </row>
        <row r="860">
          <cell r="A860" t="str">
            <v>BGD</v>
          </cell>
          <cell r="B860" t="str">
            <v>Middle</v>
          </cell>
          <cell r="C860" t="str">
            <v>2010 - 2022</v>
          </cell>
          <cell r="D860" t="str">
            <v>avg_1_99</v>
          </cell>
          <cell r="E860" t="str">
            <v>lfprod_s0_a3</v>
          </cell>
          <cell r="F860">
            <v>-0.56009644269943237</v>
          </cell>
          <cell r="G860">
            <v>6</v>
          </cell>
        </row>
        <row r="861">
          <cell r="A861" t="str">
            <v>BGD</v>
          </cell>
          <cell r="B861" t="str">
            <v>Middle</v>
          </cell>
          <cell r="C861" t="str">
            <v>2010 - 2022</v>
          </cell>
          <cell r="D861" t="str">
            <v>avg_1_99</v>
          </cell>
          <cell r="E861" t="str">
            <v>lfprod_s0_a4</v>
          </cell>
          <cell r="F861">
            <v>-0.70279836654663086</v>
          </cell>
          <cell r="G861">
            <v>6</v>
          </cell>
        </row>
        <row r="862">
          <cell r="A862" t="str">
            <v>BGD</v>
          </cell>
          <cell r="B862" t="str">
            <v>Middle</v>
          </cell>
          <cell r="C862" t="str">
            <v>2010 - 2022</v>
          </cell>
          <cell r="D862" t="str">
            <v>avg_1_99</v>
          </cell>
          <cell r="E862" t="str">
            <v>lfprod_s0_a5</v>
          </cell>
          <cell r="F862">
            <v>-0.44263628125190735</v>
          </cell>
          <cell r="G862">
            <v>6</v>
          </cell>
        </row>
        <row r="863">
          <cell r="A863" t="str">
            <v>BGD</v>
          </cell>
          <cell r="B863" t="str">
            <v>Middle</v>
          </cell>
          <cell r="C863" t="str">
            <v>2010 - 2022</v>
          </cell>
          <cell r="D863" t="str">
            <v>avg_1_99</v>
          </cell>
          <cell r="E863" t="str">
            <v>lfprod_s0_a6</v>
          </cell>
          <cell r="F863">
            <v>-0.47984510660171509</v>
          </cell>
          <cell r="G863">
            <v>6</v>
          </cell>
        </row>
        <row r="864">
          <cell r="A864" t="str">
            <v>BGD</v>
          </cell>
          <cell r="B864" t="str">
            <v>Middle</v>
          </cell>
          <cell r="C864" t="str">
            <v>2010 - 2022</v>
          </cell>
          <cell r="D864" t="str">
            <v>avg_1_99</v>
          </cell>
          <cell r="E864" t="str">
            <v>lfprod_s1_a1</v>
          </cell>
          <cell r="F864">
            <v>-1.6635783910751343</v>
          </cell>
          <cell r="G864">
            <v>6</v>
          </cell>
        </row>
        <row r="865">
          <cell r="A865" t="str">
            <v>BGD</v>
          </cell>
          <cell r="B865" t="str">
            <v>Middle</v>
          </cell>
          <cell r="C865" t="str">
            <v>2010 - 2022</v>
          </cell>
          <cell r="D865" t="str">
            <v>avg_1_99</v>
          </cell>
          <cell r="E865" t="str">
            <v>lfprod_s1_a2</v>
          </cell>
          <cell r="F865">
            <v>-0.409566730260849</v>
          </cell>
          <cell r="G865">
            <v>6</v>
          </cell>
        </row>
        <row r="866">
          <cell r="A866" t="str">
            <v>BGD</v>
          </cell>
          <cell r="B866" t="str">
            <v>Middle</v>
          </cell>
          <cell r="C866" t="str">
            <v>2010 - 2022</v>
          </cell>
          <cell r="D866" t="str">
            <v>avg_1_99</v>
          </cell>
          <cell r="E866" t="str">
            <v>lfprod_s1_a3</v>
          </cell>
          <cell r="F866">
            <v>2.2126905620098114E-2</v>
          </cell>
          <cell r="G866">
            <v>6</v>
          </cell>
        </row>
        <row r="867">
          <cell r="A867" t="str">
            <v>BGD</v>
          </cell>
          <cell r="B867" t="str">
            <v>Middle</v>
          </cell>
          <cell r="C867" t="str">
            <v>2010 - 2022</v>
          </cell>
          <cell r="D867" t="str">
            <v>avg_1_99</v>
          </cell>
          <cell r="E867" t="str">
            <v>lfprod_s1_a4</v>
          </cell>
          <cell r="F867">
            <v>0.3328089714050293</v>
          </cell>
          <cell r="G867">
            <v>6</v>
          </cell>
        </row>
        <row r="868">
          <cell r="A868" t="str">
            <v>BGD</v>
          </cell>
          <cell r="B868" t="str">
            <v>Middle</v>
          </cell>
          <cell r="C868" t="str">
            <v>2010 - 2022</v>
          </cell>
          <cell r="D868" t="str">
            <v>avg_1_99</v>
          </cell>
          <cell r="E868" t="str">
            <v>lfprod_s1_a5</v>
          </cell>
          <cell r="F868">
            <v>-0.58566129207611084</v>
          </cell>
          <cell r="G868">
            <v>6</v>
          </cell>
        </row>
        <row r="869">
          <cell r="A869" t="str">
            <v>BGD</v>
          </cell>
          <cell r="B869" t="str">
            <v>Middle</v>
          </cell>
          <cell r="C869" t="str">
            <v>2010 - 2022</v>
          </cell>
          <cell r="D869" t="str">
            <v>avg_1_99</v>
          </cell>
          <cell r="E869" t="str">
            <v>lfprod_s1_a6</v>
          </cell>
          <cell r="F869">
            <v>0.23722624778747559</v>
          </cell>
          <cell r="G869">
            <v>6</v>
          </cell>
        </row>
        <row r="870">
          <cell r="A870" t="str">
            <v>BGD</v>
          </cell>
          <cell r="B870" t="str">
            <v>Middle</v>
          </cell>
          <cell r="C870" t="str">
            <v>2010 - 2022</v>
          </cell>
          <cell r="D870" t="str">
            <v>avg_1_99_imp</v>
          </cell>
          <cell r="E870" t="str">
            <v>lfls12_S0_A0</v>
          </cell>
          <cell r="F870">
            <v>0.37135925889015198</v>
          </cell>
          <cell r="G870">
            <v>6</v>
          </cell>
        </row>
        <row r="871">
          <cell r="A871" t="str">
            <v>BGD</v>
          </cell>
          <cell r="B871" t="str">
            <v>Middle</v>
          </cell>
          <cell r="C871" t="str">
            <v>2010 - 2022</v>
          </cell>
          <cell r="D871" t="str">
            <v>avg_1_99_imp</v>
          </cell>
          <cell r="E871" t="str">
            <v>lfls1_S0_A0</v>
          </cell>
          <cell r="F871">
            <v>0.3496982753276825</v>
          </cell>
          <cell r="G871">
            <v>6</v>
          </cell>
        </row>
        <row r="872">
          <cell r="A872" t="str">
            <v>BGD</v>
          </cell>
          <cell r="B872" t="str">
            <v>Middle</v>
          </cell>
          <cell r="C872" t="str">
            <v>2010 - 2022</v>
          </cell>
          <cell r="D872" t="str">
            <v>avg_1_99_imp</v>
          </cell>
          <cell r="E872" t="str">
            <v>lfls1_S0_a1</v>
          </cell>
          <cell r="F872">
            <v>0.39026004076004028</v>
          </cell>
          <cell r="G872">
            <v>6</v>
          </cell>
        </row>
        <row r="873">
          <cell r="A873" t="str">
            <v>BGD</v>
          </cell>
          <cell r="B873" t="str">
            <v>Middle</v>
          </cell>
          <cell r="C873" t="str">
            <v>2010 - 2022</v>
          </cell>
          <cell r="D873" t="str">
            <v>avg_1_99_imp</v>
          </cell>
          <cell r="E873" t="str">
            <v>lfls1_S0_a2</v>
          </cell>
          <cell r="F873">
            <v>0.47420981526374817</v>
          </cell>
          <cell r="G873">
            <v>6</v>
          </cell>
        </row>
        <row r="874">
          <cell r="A874" t="str">
            <v>BGD</v>
          </cell>
          <cell r="B874" t="str">
            <v>Middle</v>
          </cell>
          <cell r="C874" t="str">
            <v>2010 - 2022</v>
          </cell>
          <cell r="D874" t="str">
            <v>avg_1_99_imp</v>
          </cell>
          <cell r="E874" t="str">
            <v>lfls1_S0_a3</v>
          </cell>
          <cell r="F874">
            <v>0.19841030240058899</v>
          </cell>
          <cell r="G874">
            <v>6</v>
          </cell>
        </row>
        <row r="875">
          <cell r="A875" t="str">
            <v>BGD</v>
          </cell>
          <cell r="B875" t="str">
            <v>Middle</v>
          </cell>
          <cell r="C875" t="str">
            <v>2010 - 2022</v>
          </cell>
          <cell r="D875" t="str">
            <v>avg_1_99_imp</v>
          </cell>
          <cell r="E875" t="str">
            <v>lfls1_S0_a4</v>
          </cell>
          <cell r="F875">
            <v>4.5156389474868774E-2</v>
          </cell>
          <cell r="G875">
            <v>6</v>
          </cell>
        </row>
        <row r="876">
          <cell r="A876" t="str">
            <v>BGD</v>
          </cell>
          <cell r="B876" t="str">
            <v>Middle</v>
          </cell>
          <cell r="C876" t="str">
            <v>2010 - 2022</v>
          </cell>
          <cell r="D876" t="str">
            <v>avg_1_99_imp</v>
          </cell>
          <cell r="E876" t="str">
            <v>lfls1_S0_a5</v>
          </cell>
          <cell r="F876">
            <v>0.57872182130813599</v>
          </cell>
          <cell r="G876">
            <v>6</v>
          </cell>
        </row>
        <row r="877">
          <cell r="A877" t="str">
            <v>BGD</v>
          </cell>
          <cell r="B877" t="str">
            <v>Middle</v>
          </cell>
          <cell r="C877" t="str">
            <v>2010 - 2022</v>
          </cell>
          <cell r="D877" t="str">
            <v>avg_1_99_imp</v>
          </cell>
          <cell r="E877" t="str">
            <v>lfls1_S0_a6</v>
          </cell>
          <cell r="F877">
            <v>0.52120423316955566</v>
          </cell>
          <cell r="G877">
            <v>6</v>
          </cell>
        </row>
        <row r="878">
          <cell r="A878" t="str">
            <v>BGD</v>
          </cell>
          <cell r="B878" t="str">
            <v>Middle</v>
          </cell>
          <cell r="C878" t="str">
            <v>2010 - 2022</v>
          </cell>
          <cell r="D878" t="str">
            <v>avg_1_99_imp</v>
          </cell>
          <cell r="E878" t="str">
            <v>lfls1_s0_A0</v>
          </cell>
          <cell r="F878">
            <v>0.63141465187072754</v>
          </cell>
          <cell r="G878">
            <v>6</v>
          </cell>
        </row>
        <row r="879">
          <cell r="A879" t="str">
            <v>BGD</v>
          </cell>
          <cell r="B879" t="str">
            <v>Middle</v>
          </cell>
          <cell r="C879" t="str">
            <v>2010 - 2022</v>
          </cell>
          <cell r="D879" t="str">
            <v>avg_1_99_imp</v>
          </cell>
          <cell r="E879" t="str">
            <v>lfls1_s0_a1</v>
          </cell>
          <cell r="F879">
            <v>3.064460277557373</v>
          </cell>
          <cell r="G879">
            <v>6</v>
          </cell>
        </row>
        <row r="880">
          <cell r="A880" t="str">
            <v>BGD</v>
          </cell>
          <cell r="B880" t="str">
            <v>Middle</v>
          </cell>
          <cell r="C880" t="str">
            <v>2010 - 2022</v>
          </cell>
          <cell r="D880" t="str">
            <v>avg_1_99_imp</v>
          </cell>
          <cell r="E880" t="str">
            <v>lfls1_s0_a2</v>
          </cell>
          <cell r="F880">
            <v>0.47732549905776978</v>
          </cell>
          <cell r="G880">
            <v>6</v>
          </cell>
        </row>
        <row r="881">
          <cell r="A881" t="str">
            <v>BGD</v>
          </cell>
          <cell r="B881" t="str">
            <v>Middle</v>
          </cell>
          <cell r="C881" t="str">
            <v>2010 - 2022</v>
          </cell>
          <cell r="D881" t="str">
            <v>avg_1_99_imp</v>
          </cell>
          <cell r="E881" t="str">
            <v>lfls1_s0_a3</v>
          </cell>
          <cell r="F881">
            <v>0.1847921758890152</v>
          </cell>
          <cell r="G881">
            <v>6</v>
          </cell>
        </row>
        <row r="882">
          <cell r="A882" t="str">
            <v>BGD</v>
          </cell>
          <cell r="B882" t="str">
            <v>Middle</v>
          </cell>
          <cell r="C882" t="str">
            <v>2010 - 2022</v>
          </cell>
          <cell r="D882" t="str">
            <v>avg_1_99_imp</v>
          </cell>
          <cell r="E882" t="str">
            <v>lfls1_s0_a4</v>
          </cell>
          <cell r="F882">
            <v>2.8431534767150879E-2</v>
          </cell>
          <cell r="G882">
            <v>6</v>
          </cell>
        </row>
        <row r="883">
          <cell r="A883" t="str">
            <v>BGD</v>
          </cell>
          <cell r="B883" t="str">
            <v>Middle</v>
          </cell>
          <cell r="C883" t="str">
            <v>2010 - 2022</v>
          </cell>
          <cell r="D883" t="str">
            <v>avg_1_99_imp</v>
          </cell>
          <cell r="E883" t="str">
            <v>lfls1_s0_a5</v>
          </cell>
          <cell r="F883">
            <v>0.49016046524047852</v>
          </cell>
          <cell r="G883">
            <v>6</v>
          </cell>
        </row>
        <row r="884">
          <cell r="A884" t="str">
            <v>BGD</v>
          </cell>
          <cell r="B884" t="str">
            <v>Middle</v>
          </cell>
          <cell r="C884" t="str">
            <v>2010 - 2022</v>
          </cell>
          <cell r="D884" t="str">
            <v>avg_1_99_imp</v>
          </cell>
          <cell r="E884" t="str">
            <v>lfls1_s0_a6</v>
          </cell>
          <cell r="F884">
            <v>0.31646129488945007</v>
          </cell>
          <cell r="G884">
            <v>6</v>
          </cell>
        </row>
        <row r="885">
          <cell r="A885" t="str">
            <v>BGD</v>
          </cell>
          <cell r="B885" t="str">
            <v>Middle</v>
          </cell>
          <cell r="C885" t="str">
            <v>2010 - 2022</v>
          </cell>
          <cell r="D885" t="str">
            <v>avg_1_99_imp</v>
          </cell>
          <cell r="E885" t="str">
            <v>lfls1_s1_A0</v>
          </cell>
          <cell r="F885">
            <v>-0.21450057625770569</v>
          </cell>
          <cell r="G885">
            <v>6</v>
          </cell>
        </row>
        <row r="886">
          <cell r="A886" t="str">
            <v>BGD</v>
          </cell>
          <cell r="B886" t="str">
            <v>Middle</v>
          </cell>
          <cell r="C886" t="str">
            <v>2010 - 2022</v>
          </cell>
          <cell r="D886" t="str">
            <v>avg_1_99_imp</v>
          </cell>
          <cell r="E886" t="str">
            <v>lfls1_s1_a1</v>
          </cell>
          <cell r="F886">
            <v>-0.95468950271606445</v>
          </cell>
          <cell r="G886">
            <v>6</v>
          </cell>
        </row>
        <row r="887">
          <cell r="A887" t="str">
            <v>BGD</v>
          </cell>
          <cell r="B887" t="str">
            <v>Middle</v>
          </cell>
          <cell r="C887" t="str">
            <v>2010 - 2022</v>
          </cell>
          <cell r="D887" t="str">
            <v>avg_1_99_imp</v>
          </cell>
          <cell r="E887" t="str">
            <v>lfls1_s1_a2</v>
          </cell>
          <cell r="F887">
            <v>0.42097100615501404</v>
          </cell>
          <cell r="G887">
            <v>6</v>
          </cell>
        </row>
        <row r="888">
          <cell r="A888" t="str">
            <v>BGD</v>
          </cell>
          <cell r="B888" t="str">
            <v>Middle</v>
          </cell>
          <cell r="C888" t="str">
            <v>2010 - 2022</v>
          </cell>
          <cell r="D888" t="str">
            <v>avg_1_99_imp</v>
          </cell>
          <cell r="E888" t="str">
            <v>lfls1_s1_a3</v>
          </cell>
          <cell r="F888">
            <v>0.86543172597885132</v>
          </cell>
          <cell r="G888">
            <v>6</v>
          </cell>
        </row>
        <row r="889">
          <cell r="A889" t="str">
            <v>BGD</v>
          </cell>
          <cell r="B889" t="str">
            <v>Middle</v>
          </cell>
          <cell r="C889" t="str">
            <v>2010 - 2022</v>
          </cell>
          <cell r="D889" t="str">
            <v>avg_1_99_imp</v>
          </cell>
          <cell r="E889" t="str">
            <v>lfls1_s1_a4</v>
          </cell>
          <cell r="F889">
            <v>1.4075396060943604</v>
          </cell>
          <cell r="G889">
            <v>6</v>
          </cell>
        </row>
        <row r="890">
          <cell r="A890" t="str">
            <v>BGD</v>
          </cell>
          <cell r="B890" t="str">
            <v>Middle</v>
          </cell>
          <cell r="C890" t="str">
            <v>2010 - 2022</v>
          </cell>
          <cell r="D890" t="str">
            <v>avg_1_99_imp</v>
          </cell>
          <cell r="E890" t="str">
            <v>lfls1_s1_a5</v>
          </cell>
          <cell r="F890">
            <v>0.29589748382568359</v>
          </cell>
          <cell r="G890">
            <v>6</v>
          </cell>
        </row>
        <row r="891">
          <cell r="A891" t="str">
            <v>BGD</v>
          </cell>
          <cell r="B891" t="str">
            <v>Middle</v>
          </cell>
          <cell r="C891" t="str">
            <v>2010 - 2022</v>
          </cell>
          <cell r="D891" t="str">
            <v>avg_1_99_imp</v>
          </cell>
          <cell r="E891" t="str">
            <v>lfls1_s1_a6</v>
          </cell>
          <cell r="F891">
            <v>1.2949813604354858</v>
          </cell>
          <cell r="G891">
            <v>6</v>
          </cell>
        </row>
        <row r="892">
          <cell r="A892" t="str">
            <v>BGD</v>
          </cell>
          <cell r="B892" t="str">
            <v>Middle</v>
          </cell>
          <cell r="C892" t="str">
            <v>2010 - 2022</v>
          </cell>
          <cell r="D892" t="str">
            <v>avg_1_99_imp</v>
          </cell>
          <cell r="E892" t="str">
            <v>lfprod_s0_a1</v>
          </cell>
          <cell r="F892">
            <v>1.793999195098877</v>
          </cell>
          <cell r="G892">
            <v>6</v>
          </cell>
        </row>
        <row r="893">
          <cell r="A893" t="str">
            <v>BGD</v>
          </cell>
          <cell r="B893" t="str">
            <v>Middle</v>
          </cell>
          <cell r="C893" t="str">
            <v>2010 - 2022</v>
          </cell>
          <cell r="D893" t="str">
            <v>avg_1_99_imp</v>
          </cell>
          <cell r="E893" t="str">
            <v>lfprod_s0_a2</v>
          </cell>
          <cell r="F893">
            <v>-0.32482519745826721</v>
          </cell>
          <cell r="G893">
            <v>6</v>
          </cell>
        </row>
        <row r="894">
          <cell r="A894" t="str">
            <v>BGD</v>
          </cell>
          <cell r="B894" t="str">
            <v>Middle</v>
          </cell>
          <cell r="C894" t="str">
            <v>2010 - 2022</v>
          </cell>
          <cell r="D894" t="str">
            <v>avg_1_99_imp</v>
          </cell>
          <cell r="E894" t="str">
            <v>lfprod_s0_a3</v>
          </cell>
          <cell r="F894">
            <v>-0.6147763729095459</v>
          </cell>
          <cell r="G894">
            <v>6</v>
          </cell>
        </row>
        <row r="895">
          <cell r="A895" t="str">
            <v>BGD</v>
          </cell>
          <cell r="B895" t="str">
            <v>Middle</v>
          </cell>
          <cell r="C895" t="str">
            <v>2010 - 2022</v>
          </cell>
          <cell r="D895" t="str">
            <v>avg_1_99_imp</v>
          </cell>
          <cell r="E895" t="str">
            <v>lfprod_s0_a4</v>
          </cell>
          <cell r="F895">
            <v>-0.68841326236724854</v>
          </cell>
          <cell r="G895">
            <v>6</v>
          </cell>
        </row>
        <row r="896">
          <cell r="A896" t="str">
            <v>BGD</v>
          </cell>
          <cell r="B896" t="str">
            <v>Middle</v>
          </cell>
          <cell r="C896" t="str">
            <v>2010 - 2022</v>
          </cell>
          <cell r="D896" t="str">
            <v>avg_1_99_imp</v>
          </cell>
          <cell r="E896" t="str">
            <v>lfprod_s0_a5</v>
          </cell>
          <cell r="F896">
            <v>-0.40058219432830811</v>
          </cell>
          <cell r="G896">
            <v>6</v>
          </cell>
        </row>
        <row r="897">
          <cell r="A897" t="str">
            <v>BGD</v>
          </cell>
          <cell r="B897" t="str">
            <v>Middle</v>
          </cell>
          <cell r="C897" t="str">
            <v>2010 - 2022</v>
          </cell>
          <cell r="D897" t="str">
            <v>avg_1_99_imp</v>
          </cell>
          <cell r="E897" t="str">
            <v>lfprod_s0_a6</v>
          </cell>
          <cell r="F897">
            <v>-0.50400793552398682</v>
          </cell>
          <cell r="G897">
            <v>6</v>
          </cell>
        </row>
        <row r="898">
          <cell r="A898" t="str">
            <v>BGD</v>
          </cell>
          <cell r="B898" t="str">
            <v>Middle</v>
          </cell>
          <cell r="C898" t="str">
            <v>2010 - 2022</v>
          </cell>
          <cell r="D898" t="str">
            <v>avg_1_99_imp</v>
          </cell>
          <cell r="E898" t="str">
            <v>lfprod_s1_a1</v>
          </cell>
          <cell r="F898">
            <v>-1.7862590551376343</v>
          </cell>
          <cell r="G898">
            <v>6</v>
          </cell>
        </row>
        <row r="899">
          <cell r="A899" t="str">
            <v>BGD</v>
          </cell>
          <cell r="B899" t="str">
            <v>Middle</v>
          </cell>
          <cell r="C899" t="str">
            <v>2010 - 2022</v>
          </cell>
          <cell r="D899" t="str">
            <v>avg_1_99_imp</v>
          </cell>
          <cell r="E899" t="str">
            <v>lfprod_s1_a2</v>
          </cell>
          <cell r="F899">
            <v>-0.38468703627586365</v>
          </cell>
          <cell r="G899">
            <v>6</v>
          </cell>
        </row>
        <row r="900">
          <cell r="A900" t="str">
            <v>BGD</v>
          </cell>
          <cell r="B900" t="str">
            <v>Middle</v>
          </cell>
          <cell r="C900" t="str">
            <v>2010 - 2022</v>
          </cell>
          <cell r="D900" t="str">
            <v>avg_1_99_imp</v>
          </cell>
          <cell r="E900" t="str">
            <v>lfprod_s1_a3</v>
          </cell>
          <cell r="F900">
            <v>-9.2780619859695435E-2</v>
          </cell>
          <cell r="G900">
            <v>6</v>
          </cell>
        </row>
        <row r="901">
          <cell r="A901" t="str">
            <v>BGD</v>
          </cell>
          <cell r="B901" t="str">
            <v>Middle</v>
          </cell>
          <cell r="C901" t="str">
            <v>2010 - 2022</v>
          </cell>
          <cell r="D901" t="str">
            <v>avg_1_99_imp</v>
          </cell>
          <cell r="E901" t="str">
            <v>lfprod_s1_a4</v>
          </cell>
          <cell r="F901">
            <v>0.28324967622756958</v>
          </cell>
          <cell r="G901">
            <v>6</v>
          </cell>
        </row>
        <row r="902">
          <cell r="A902" t="str">
            <v>BGD</v>
          </cell>
          <cell r="B902" t="str">
            <v>Middle</v>
          </cell>
          <cell r="C902" t="str">
            <v>2010 - 2022</v>
          </cell>
          <cell r="D902" t="str">
            <v>avg_1_99_imp</v>
          </cell>
          <cell r="E902" t="str">
            <v>lfprod_s1_a5</v>
          </cell>
          <cell r="F902">
            <v>-0.62783002853393555</v>
          </cell>
          <cell r="G902">
            <v>6</v>
          </cell>
        </row>
        <row r="903">
          <cell r="A903" t="str">
            <v>BGD</v>
          </cell>
          <cell r="B903" t="str">
            <v>Middle</v>
          </cell>
          <cell r="C903" t="str">
            <v>2010 - 2022</v>
          </cell>
          <cell r="D903" t="str">
            <v>avg_1_99_imp</v>
          </cell>
          <cell r="E903" t="str">
            <v>lfprod_s1_a6</v>
          </cell>
          <cell r="F903">
            <v>0.2324599027633667</v>
          </cell>
          <cell r="G903">
            <v>6</v>
          </cell>
        </row>
        <row r="904">
          <cell r="A904" t="str">
            <v>BGD</v>
          </cell>
          <cell r="B904" t="str">
            <v>Middle</v>
          </cell>
          <cell r="C904" t="str">
            <v>2010 - 2022</v>
          </cell>
          <cell r="D904" t="str">
            <v>med_reg</v>
          </cell>
          <cell r="E904" t="str">
            <v>lfls12_S0_A0</v>
          </cell>
          <cell r="F904">
            <v>0.359465092420578</v>
          </cell>
          <cell r="G904">
            <v>6</v>
          </cell>
        </row>
        <row r="905">
          <cell r="A905" t="str">
            <v>BGD</v>
          </cell>
          <cell r="B905" t="str">
            <v>Middle</v>
          </cell>
          <cell r="C905" t="str">
            <v>2010 - 2022</v>
          </cell>
          <cell r="D905" t="str">
            <v>med_reg</v>
          </cell>
          <cell r="E905" t="str">
            <v>lfls1_S0_A0</v>
          </cell>
          <cell r="F905">
            <v>0.35036280751228333</v>
          </cell>
          <cell r="G905">
            <v>6</v>
          </cell>
        </row>
        <row r="906">
          <cell r="A906" t="str">
            <v>BGD</v>
          </cell>
          <cell r="B906" t="str">
            <v>Middle</v>
          </cell>
          <cell r="C906" t="str">
            <v>2010 - 2022</v>
          </cell>
          <cell r="D906" t="str">
            <v>med_reg</v>
          </cell>
          <cell r="E906" t="str">
            <v>lfls1_S0_a1</v>
          </cell>
          <cell r="F906">
            <v>0.48938548564910889</v>
          </cell>
          <cell r="G906">
            <v>6</v>
          </cell>
        </row>
        <row r="907">
          <cell r="A907" t="str">
            <v>BGD</v>
          </cell>
          <cell r="B907" t="str">
            <v>Middle</v>
          </cell>
          <cell r="C907" t="str">
            <v>2010 - 2022</v>
          </cell>
          <cell r="D907" t="str">
            <v>med_reg</v>
          </cell>
          <cell r="E907" t="str">
            <v>lfls1_S0_a2</v>
          </cell>
          <cell r="F907">
            <v>0.34433221817016602</v>
          </cell>
          <cell r="G907">
            <v>6</v>
          </cell>
        </row>
        <row r="908">
          <cell r="A908" t="str">
            <v>BGD</v>
          </cell>
          <cell r="B908" t="str">
            <v>Middle</v>
          </cell>
          <cell r="C908" t="str">
            <v>2010 - 2022</v>
          </cell>
          <cell r="D908" t="str">
            <v>med_reg</v>
          </cell>
          <cell r="E908" t="str">
            <v>lfls1_S0_a3</v>
          </cell>
          <cell r="F908">
            <v>-0.13618260622024536</v>
          </cell>
          <cell r="G908">
            <v>6</v>
          </cell>
        </row>
        <row r="909">
          <cell r="A909" t="str">
            <v>BGD</v>
          </cell>
          <cell r="B909" t="str">
            <v>Middle</v>
          </cell>
          <cell r="C909" t="str">
            <v>2010 - 2022</v>
          </cell>
          <cell r="D909" t="str">
            <v>med_reg</v>
          </cell>
          <cell r="E909" t="str">
            <v>lfls1_S0_a4</v>
          </cell>
          <cell r="F909">
            <v>0.77789819240570068</v>
          </cell>
          <cell r="G909">
            <v>6</v>
          </cell>
        </row>
        <row r="910">
          <cell r="A910" t="str">
            <v>BGD</v>
          </cell>
          <cell r="B910" t="str">
            <v>Middle</v>
          </cell>
          <cell r="C910" t="str">
            <v>2010 - 2022</v>
          </cell>
          <cell r="D910" t="str">
            <v>med_reg</v>
          </cell>
          <cell r="E910" t="str">
            <v>lfls1_S0_a5</v>
          </cell>
          <cell r="F910">
            <v>0.55512243509292603</v>
          </cell>
          <cell r="G910">
            <v>6</v>
          </cell>
        </row>
        <row r="911">
          <cell r="A911" t="str">
            <v>BGD</v>
          </cell>
          <cell r="B911" t="str">
            <v>Middle</v>
          </cell>
          <cell r="C911" t="str">
            <v>2010 - 2022</v>
          </cell>
          <cell r="D911" t="str">
            <v>med_reg</v>
          </cell>
          <cell r="E911" t="str">
            <v>lfls1_S0_a6</v>
          </cell>
          <cell r="F911">
            <v>0.62428683042526245</v>
          </cell>
          <cell r="G911">
            <v>6</v>
          </cell>
        </row>
        <row r="912">
          <cell r="A912" t="str">
            <v>BGD</v>
          </cell>
          <cell r="B912" t="str">
            <v>Middle</v>
          </cell>
          <cell r="C912" t="str">
            <v>2010 - 2022</v>
          </cell>
          <cell r="D912" t="str">
            <v>med_reg</v>
          </cell>
          <cell r="E912" t="str">
            <v>lfls1_s0_A0</v>
          </cell>
          <cell r="F912">
            <v>0.71782344579696655</v>
          </cell>
          <cell r="G912">
            <v>6</v>
          </cell>
        </row>
        <row r="913">
          <cell r="A913" t="str">
            <v>BGD</v>
          </cell>
          <cell r="B913" t="str">
            <v>Middle</v>
          </cell>
          <cell r="C913" t="str">
            <v>2010 - 2022</v>
          </cell>
          <cell r="D913" t="str">
            <v>med_reg</v>
          </cell>
          <cell r="E913" t="str">
            <v>lfls1_s0_a1</v>
          </cell>
          <cell r="F913">
            <v>5.5386190414428711</v>
          </cell>
          <cell r="G913">
            <v>6</v>
          </cell>
        </row>
        <row r="914">
          <cell r="A914" t="str">
            <v>BGD</v>
          </cell>
          <cell r="B914" t="str">
            <v>Middle</v>
          </cell>
          <cell r="C914" t="str">
            <v>2010 - 2022</v>
          </cell>
          <cell r="D914" t="str">
            <v>med_reg</v>
          </cell>
          <cell r="E914" t="str">
            <v>lfls1_s0_a2</v>
          </cell>
          <cell r="F914">
            <v>0.32926544547080994</v>
          </cell>
          <cell r="G914">
            <v>6</v>
          </cell>
        </row>
        <row r="915">
          <cell r="A915" t="str">
            <v>BGD</v>
          </cell>
          <cell r="B915" t="str">
            <v>Middle</v>
          </cell>
          <cell r="C915" t="str">
            <v>2010 - 2022</v>
          </cell>
          <cell r="D915" t="str">
            <v>med_reg</v>
          </cell>
          <cell r="E915" t="str">
            <v>lfls1_s0_a3</v>
          </cell>
          <cell r="F915">
            <v>-0.15143889188766479</v>
          </cell>
          <cell r="G915">
            <v>6</v>
          </cell>
        </row>
        <row r="916">
          <cell r="A916" t="str">
            <v>BGD</v>
          </cell>
          <cell r="B916" t="str">
            <v>Middle</v>
          </cell>
          <cell r="C916" t="str">
            <v>2010 - 2022</v>
          </cell>
          <cell r="D916" t="str">
            <v>med_reg</v>
          </cell>
          <cell r="E916" t="str">
            <v>lfls1_s0_a4</v>
          </cell>
          <cell r="F916">
            <v>0.75622469186782837</v>
          </cell>
          <cell r="G916">
            <v>6</v>
          </cell>
        </row>
        <row r="917">
          <cell r="A917" t="str">
            <v>BGD</v>
          </cell>
          <cell r="B917" t="str">
            <v>Middle</v>
          </cell>
          <cell r="C917" t="str">
            <v>2010 - 2022</v>
          </cell>
          <cell r="D917" t="str">
            <v>med_reg</v>
          </cell>
          <cell r="E917" t="str">
            <v>lfls1_s0_a5</v>
          </cell>
          <cell r="F917">
            <v>0.84139615297317505</v>
          </cell>
          <cell r="G917">
            <v>6</v>
          </cell>
        </row>
        <row r="918">
          <cell r="A918" t="str">
            <v>BGD</v>
          </cell>
          <cell r="B918" t="str">
            <v>Middle</v>
          </cell>
          <cell r="C918" t="str">
            <v>2010 - 2022</v>
          </cell>
          <cell r="D918" t="str">
            <v>med_reg</v>
          </cell>
          <cell r="E918" t="str">
            <v>lfls1_s0_a6</v>
          </cell>
          <cell r="F918">
            <v>0.3339264988899231</v>
          </cell>
          <cell r="G918">
            <v>6</v>
          </cell>
        </row>
        <row r="919">
          <cell r="A919" t="str">
            <v>BGD</v>
          </cell>
          <cell r="B919" t="str">
            <v>Middle</v>
          </cell>
          <cell r="C919" t="str">
            <v>2010 - 2022</v>
          </cell>
          <cell r="D919" t="str">
            <v>med_reg</v>
          </cell>
          <cell r="E919" t="str">
            <v>lfls1_s1_A0</v>
          </cell>
          <cell r="F919">
            <v>-0.28888872265815735</v>
          </cell>
          <cell r="G919">
            <v>6</v>
          </cell>
        </row>
        <row r="920">
          <cell r="A920" t="str">
            <v>BGD</v>
          </cell>
          <cell r="B920" t="str">
            <v>Middle</v>
          </cell>
          <cell r="C920" t="str">
            <v>2010 - 2022</v>
          </cell>
          <cell r="D920" t="str">
            <v>med_reg</v>
          </cell>
          <cell r="E920" t="str">
            <v>lfls1_s1_a1</v>
          </cell>
          <cell r="F920">
            <v>-1.9553773403167725</v>
          </cell>
          <cell r="G920">
            <v>6</v>
          </cell>
        </row>
        <row r="921">
          <cell r="A921" t="str">
            <v>BGD</v>
          </cell>
          <cell r="B921" t="str">
            <v>Middle</v>
          </cell>
          <cell r="C921" t="str">
            <v>2010 - 2022</v>
          </cell>
          <cell r="D921" t="str">
            <v>med_reg</v>
          </cell>
          <cell r="E921" t="str">
            <v>lfls1_s1_a2</v>
          </cell>
          <cell r="F921">
            <v>0.47183665633201599</v>
          </cell>
          <cell r="G921">
            <v>6</v>
          </cell>
        </row>
        <row r="922">
          <cell r="A922" t="str">
            <v>BGD</v>
          </cell>
          <cell r="B922" t="str">
            <v>Middle</v>
          </cell>
          <cell r="C922" t="str">
            <v>2010 - 2022</v>
          </cell>
          <cell r="D922" t="str">
            <v>med_reg</v>
          </cell>
          <cell r="E922" t="str">
            <v>lfls1_s1_a3</v>
          </cell>
          <cell r="F922">
            <v>0.74323028326034546</v>
          </cell>
          <cell r="G922">
            <v>6</v>
          </cell>
        </row>
        <row r="923">
          <cell r="A923" t="str">
            <v>BGD</v>
          </cell>
          <cell r="B923" t="str">
            <v>Middle</v>
          </cell>
          <cell r="C923" t="str">
            <v>2010 - 2022</v>
          </cell>
          <cell r="D923" t="str">
            <v>med_reg</v>
          </cell>
          <cell r="E923" t="str">
            <v>lfls1_s1_a4</v>
          </cell>
          <cell r="F923">
            <v>2.3755829334259033</v>
          </cell>
          <cell r="G923">
            <v>6</v>
          </cell>
        </row>
        <row r="924">
          <cell r="A924" t="str">
            <v>BGD</v>
          </cell>
          <cell r="B924" t="str">
            <v>Middle</v>
          </cell>
          <cell r="C924" t="str">
            <v>2010 - 2022</v>
          </cell>
          <cell r="D924" t="str">
            <v>med_reg</v>
          </cell>
          <cell r="E924" t="str">
            <v>lfls1_s1_a5</v>
          </cell>
          <cell r="F924">
            <v>0.21296742558479309</v>
          </cell>
          <cell r="G924">
            <v>6</v>
          </cell>
        </row>
        <row r="925">
          <cell r="A925" t="str">
            <v>BGD</v>
          </cell>
          <cell r="B925" t="str">
            <v>Middle</v>
          </cell>
          <cell r="C925" t="str">
            <v>2010 - 2022</v>
          </cell>
          <cell r="D925" t="str">
            <v>med_reg</v>
          </cell>
          <cell r="E925" t="str">
            <v>lfls1_s1_a6</v>
          </cell>
          <cell r="F925">
            <v>1.569001317024231</v>
          </cell>
          <cell r="G925">
            <v>6</v>
          </cell>
        </row>
        <row r="926">
          <cell r="A926" t="str">
            <v>BGD</v>
          </cell>
          <cell r="B926" t="str">
            <v>Middle</v>
          </cell>
          <cell r="C926" t="str">
            <v>2010 - 2022</v>
          </cell>
          <cell r="D926" t="str">
            <v>med_reg</v>
          </cell>
          <cell r="E926" t="str">
            <v>lfprod_s0_a1</v>
          </cell>
          <cell r="F926">
            <v>4.5386190414428711</v>
          </cell>
          <cell r="G926">
            <v>6</v>
          </cell>
        </row>
        <row r="927">
          <cell r="A927" t="str">
            <v>BGD</v>
          </cell>
          <cell r="B927" t="str">
            <v>Middle</v>
          </cell>
          <cell r="C927" t="str">
            <v>2010 - 2022</v>
          </cell>
          <cell r="D927" t="str">
            <v>med_reg</v>
          </cell>
          <cell r="E927" t="str">
            <v>lfprod_s0_a2</v>
          </cell>
          <cell r="F927">
            <v>-0.67073458433151245</v>
          </cell>
          <cell r="G927">
            <v>6</v>
          </cell>
        </row>
        <row r="928">
          <cell r="A928" t="str">
            <v>BGD</v>
          </cell>
          <cell r="B928" t="str">
            <v>Middle</v>
          </cell>
          <cell r="C928" t="str">
            <v>2010 - 2022</v>
          </cell>
          <cell r="D928" t="str">
            <v>med_reg</v>
          </cell>
          <cell r="E928" t="str">
            <v>lfprod_s0_a3</v>
          </cell>
          <cell r="F928">
            <v>-1.1514389514923096</v>
          </cell>
          <cell r="G928">
            <v>6</v>
          </cell>
        </row>
        <row r="929">
          <cell r="A929" t="str">
            <v>BGD</v>
          </cell>
          <cell r="B929" t="str">
            <v>Middle</v>
          </cell>
          <cell r="C929" t="str">
            <v>2010 - 2022</v>
          </cell>
          <cell r="D929" t="str">
            <v>med_reg</v>
          </cell>
          <cell r="E929" t="str">
            <v>lfprod_s0_a4</v>
          </cell>
          <cell r="F929">
            <v>-0.24377529323101044</v>
          </cell>
          <cell r="G929">
            <v>6</v>
          </cell>
        </row>
        <row r="930">
          <cell r="A930" t="str">
            <v>BGD</v>
          </cell>
          <cell r="B930" t="str">
            <v>Middle</v>
          </cell>
          <cell r="C930" t="str">
            <v>2010 - 2022</v>
          </cell>
          <cell r="D930" t="str">
            <v>med_reg</v>
          </cell>
          <cell r="E930" t="str">
            <v>lfprod_s0_a5</v>
          </cell>
          <cell r="F930">
            <v>-0.15860386192798615</v>
          </cell>
          <cell r="G930">
            <v>6</v>
          </cell>
        </row>
        <row r="931">
          <cell r="A931" t="str">
            <v>BGD</v>
          </cell>
          <cell r="B931" t="str">
            <v>Middle</v>
          </cell>
          <cell r="C931" t="str">
            <v>2010 - 2022</v>
          </cell>
          <cell r="D931" t="str">
            <v>med_reg</v>
          </cell>
          <cell r="E931" t="str">
            <v>lfprod_s0_a6</v>
          </cell>
          <cell r="F931">
            <v>-0.6660735011100769</v>
          </cell>
          <cell r="G931">
            <v>6</v>
          </cell>
        </row>
        <row r="932">
          <cell r="A932" t="str">
            <v>BGD</v>
          </cell>
          <cell r="B932" t="str">
            <v>Middle</v>
          </cell>
          <cell r="C932" t="str">
            <v>2010 - 2022</v>
          </cell>
          <cell r="D932" t="str">
            <v>med_reg</v>
          </cell>
          <cell r="E932" t="str">
            <v>lfprod_s1_a1</v>
          </cell>
          <cell r="F932">
            <v>-2.9553773403167725</v>
          </cell>
          <cell r="G932">
            <v>6</v>
          </cell>
        </row>
        <row r="933">
          <cell r="A933" t="str">
            <v>BGD</v>
          </cell>
          <cell r="B933" t="str">
            <v>Middle</v>
          </cell>
          <cell r="C933" t="str">
            <v>2010 - 2022</v>
          </cell>
          <cell r="D933" t="str">
            <v>med_reg</v>
          </cell>
          <cell r="E933" t="str">
            <v>lfprod_s1_a2</v>
          </cell>
          <cell r="F933">
            <v>-0.52816331386566162</v>
          </cell>
          <cell r="G933">
            <v>6</v>
          </cell>
        </row>
        <row r="934">
          <cell r="A934" t="str">
            <v>BGD</v>
          </cell>
          <cell r="B934" t="str">
            <v>Middle</v>
          </cell>
          <cell r="C934" t="str">
            <v>2010 - 2022</v>
          </cell>
          <cell r="D934" t="str">
            <v>med_reg</v>
          </cell>
          <cell r="E934" t="str">
            <v>lfprod_s1_a3</v>
          </cell>
          <cell r="F934">
            <v>-0.25676971673965454</v>
          </cell>
          <cell r="G934">
            <v>6</v>
          </cell>
        </row>
        <row r="935">
          <cell r="A935" t="str">
            <v>BGD</v>
          </cell>
          <cell r="B935" t="str">
            <v>Middle</v>
          </cell>
          <cell r="C935" t="str">
            <v>2010 - 2022</v>
          </cell>
          <cell r="D935" t="str">
            <v>med_reg</v>
          </cell>
          <cell r="E935" t="str">
            <v>lfprod_s1_a4</v>
          </cell>
          <cell r="F935">
            <v>1.3755830526351929</v>
          </cell>
          <cell r="G935">
            <v>6</v>
          </cell>
        </row>
        <row r="936">
          <cell r="A936" t="str">
            <v>BGD</v>
          </cell>
          <cell r="B936" t="str">
            <v>Middle</v>
          </cell>
          <cell r="C936" t="str">
            <v>2010 - 2022</v>
          </cell>
          <cell r="D936" t="str">
            <v>med_reg</v>
          </cell>
          <cell r="E936" t="str">
            <v>lfprod_s1_a5</v>
          </cell>
          <cell r="F936">
            <v>-0.7870326042175293</v>
          </cell>
          <cell r="G936">
            <v>6</v>
          </cell>
        </row>
        <row r="937">
          <cell r="A937" t="str">
            <v>BGD</v>
          </cell>
          <cell r="B937" t="str">
            <v>Middle</v>
          </cell>
          <cell r="C937" t="str">
            <v>2010 - 2022</v>
          </cell>
          <cell r="D937" t="str">
            <v>med_reg</v>
          </cell>
          <cell r="E937" t="str">
            <v>lfprod_s1_a6</v>
          </cell>
          <cell r="F937">
            <v>0.56900137662887573</v>
          </cell>
          <cell r="G937">
            <v>6</v>
          </cell>
        </row>
        <row r="938">
          <cell r="A938" t="str">
            <v>BGD</v>
          </cell>
          <cell r="B938" t="str">
            <v>Middle</v>
          </cell>
          <cell r="C938" t="str">
            <v>2010 - 2022</v>
          </cell>
          <cell r="D938" t="str">
            <v>med_reg_gdp</v>
          </cell>
          <cell r="E938" t="str">
            <v>lfls12_S0_A0</v>
          </cell>
          <cell r="F938">
            <v>0.359465092420578</v>
          </cell>
          <cell r="G938">
            <v>6</v>
          </cell>
        </row>
        <row r="939">
          <cell r="A939" t="str">
            <v>BGD</v>
          </cell>
          <cell r="B939" t="str">
            <v>Middle</v>
          </cell>
          <cell r="C939" t="str">
            <v>2010 - 2022</v>
          </cell>
          <cell r="D939" t="str">
            <v>med_reg_gdp</v>
          </cell>
          <cell r="E939" t="str">
            <v>lfls1_S0_A0</v>
          </cell>
          <cell r="F939">
            <v>0.35036280751228333</v>
          </cell>
          <cell r="G939">
            <v>6</v>
          </cell>
        </row>
        <row r="940">
          <cell r="A940" t="str">
            <v>BGD</v>
          </cell>
          <cell r="B940" t="str">
            <v>Middle</v>
          </cell>
          <cell r="C940" t="str">
            <v>2010 - 2022</v>
          </cell>
          <cell r="D940" t="str">
            <v>med_reg_gdp</v>
          </cell>
          <cell r="E940" t="str">
            <v>lfls1_S0_a1</v>
          </cell>
          <cell r="F940">
            <v>-0.31588190793991089</v>
          </cell>
          <cell r="G940">
            <v>6</v>
          </cell>
        </row>
        <row r="941">
          <cell r="A941" t="str">
            <v>BGD</v>
          </cell>
          <cell r="B941" t="str">
            <v>Middle</v>
          </cell>
          <cell r="C941" t="str">
            <v>2010 - 2022</v>
          </cell>
          <cell r="D941" t="str">
            <v>med_reg_gdp</v>
          </cell>
          <cell r="E941" t="str">
            <v>lfls1_S0_a2</v>
          </cell>
          <cell r="F941">
            <v>2.9217557907104492</v>
          </cell>
          <cell r="G941">
            <v>6</v>
          </cell>
        </row>
        <row r="942">
          <cell r="A942" t="str">
            <v>BGD</v>
          </cell>
          <cell r="B942" t="str">
            <v>Middle</v>
          </cell>
          <cell r="C942" t="str">
            <v>2010 - 2022</v>
          </cell>
          <cell r="D942" t="str">
            <v>med_reg_gdp</v>
          </cell>
          <cell r="E942" t="str">
            <v>lfls1_S0_a3</v>
          </cell>
          <cell r="F942">
            <v>8.7050590515136719</v>
          </cell>
          <cell r="G942">
            <v>6</v>
          </cell>
        </row>
        <row r="943">
          <cell r="A943" t="str">
            <v>BGD</v>
          </cell>
          <cell r="B943" t="str">
            <v>Middle</v>
          </cell>
          <cell r="C943" t="str">
            <v>2010 - 2022</v>
          </cell>
          <cell r="D943" t="str">
            <v>med_reg_gdp</v>
          </cell>
          <cell r="E943" t="str">
            <v>lfls1_S0_a4</v>
          </cell>
          <cell r="F943">
            <v>-1.246379017829895</v>
          </cell>
          <cell r="G943">
            <v>6</v>
          </cell>
        </row>
        <row r="944">
          <cell r="A944" t="str">
            <v>BGD</v>
          </cell>
          <cell r="B944" t="str">
            <v>Middle</v>
          </cell>
          <cell r="C944" t="str">
            <v>2010 - 2022</v>
          </cell>
          <cell r="D944" t="str">
            <v>med_reg_gdp</v>
          </cell>
          <cell r="E944" t="str">
            <v>lfls1_S0_a5</v>
          </cell>
          <cell r="F944">
            <v>-0.45282086730003357</v>
          </cell>
          <cell r="G944">
            <v>6</v>
          </cell>
        </row>
        <row r="945">
          <cell r="A945" t="str">
            <v>BGD</v>
          </cell>
          <cell r="B945" t="str">
            <v>Middle</v>
          </cell>
          <cell r="C945" t="str">
            <v>2010 - 2022</v>
          </cell>
          <cell r="D945" t="str">
            <v>med_reg_gdp</v>
          </cell>
          <cell r="E945" t="str">
            <v>lfls1_S0_a6</v>
          </cell>
          <cell r="F945">
            <v>0.50772672891616821</v>
          </cell>
          <cell r="G945">
            <v>6</v>
          </cell>
        </row>
        <row r="946">
          <cell r="A946" t="str">
            <v>BGD</v>
          </cell>
          <cell r="B946" t="str">
            <v>Middle</v>
          </cell>
          <cell r="C946" t="str">
            <v>2010 - 2022</v>
          </cell>
          <cell r="D946" t="str">
            <v>med_reg_gdp</v>
          </cell>
          <cell r="E946" t="str">
            <v>lfls1_s0_A0</v>
          </cell>
          <cell r="F946">
            <v>0.71782344579696655</v>
          </cell>
          <cell r="G946">
            <v>6</v>
          </cell>
        </row>
        <row r="947">
          <cell r="A947" t="str">
            <v>BGD</v>
          </cell>
          <cell r="B947" t="str">
            <v>Middle</v>
          </cell>
          <cell r="C947" t="str">
            <v>2010 - 2022</v>
          </cell>
          <cell r="D947" t="str">
            <v>med_reg_gdp</v>
          </cell>
          <cell r="E947" t="str">
            <v>lfls1_s0_a1</v>
          </cell>
          <cell r="F947">
            <v>-1.8095742464065552</v>
          </cell>
          <cell r="G947">
            <v>6</v>
          </cell>
        </row>
        <row r="948">
          <cell r="A948" t="str">
            <v>BGD</v>
          </cell>
          <cell r="B948" t="str">
            <v>Middle</v>
          </cell>
          <cell r="C948" t="str">
            <v>2010 - 2022</v>
          </cell>
          <cell r="D948" t="str">
            <v>med_reg_gdp</v>
          </cell>
          <cell r="E948" t="str">
            <v>lfls1_s0_a2</v>
          </cell>
          <cell r="F948">
            <v>2.8894069194793701</v>
          </cell>
          <cell r="G948">
            <v>6</v>
          </cell>
        </row>
        <row r="949">
          <cell r="A949" t="str">
            <v>BGD</v>
          </cell>
          <cell r="B949" t="str">
            <v>Middle</v>
          </cell>
          <cell r="C949" t="str">
            <v>2010 - 2022</v>
          </cell>
          <cell r="D949" t="str">
            <v>med_reg_gdp</v>
          </cell>
          <cell r="E949" t="str">
            <v>lfls1_s0_a3</v>
          </cell>
          <cell r="F949">
            <v>7.1163125038146973</v>
          </cell>
          <cell r="G949">
            <v>6</v>
          </cell>
        </row>
        <row r="950">
          <cell r="A950" t="str">
            <v>BGD</v>
          </cell>
          <cell r="B950" t="str">
            <v>Middle</v>
          </cell>
          <cell r="C950" t="str">
            <v>2010 - 2022</v>
          </cell>
          <cell r="D950" t="str">
            <v>med_reg_gdp</v>
          </cell>
          <cell r="E950" t="str">
            <v>lfls1_s0_a4</v>
          </cell>
          <cell r="F950">
            <v>-1.3475795984268188</v>
          </cell>
          <cell r="G950">
            <v>6</v>
          </cell>
        </row>
        <row r="951">
          <cell r="A951" t="str">
            <v>BGD</v>
          </cell>
          <cell r="B951" t="str">
            <v>Middle</v>
          </cell>
          <cell r="C951" t="str">
            <v>2010 - 2022</v>
          </cell>
          <cell r="D951" t="str">
            <v>med_reg_gdp</v>
          </cell>
          <cell r="E951" t="str">
            <v>lfls1_s0_a5</v>
          </cell>
          <cell r="F951">
            <v>-1.9179397821426392</v>
          </cell>
          <cell r="G951">
            <v>6</v>
          </cell>
        </row>
        <row r="952">
          <cell r="A952" t="str">
            <v>BGD</v>
          </cell>
          <cell r="B952" t="str">
            <v>Middle</v>
          </cell>
          <cell r="C952" t="str">
            <v>2010 - 2022</v>
          </cell>
          <cell r="D952" t="str">
            <v>med_reg_gdp</v>
          </cell>
          <cell r="E952" t="str">
            <v>lfls1_s0_a6</v>
          </cell>
          <cell r="F952">
            <v>1.6855130195617676</v>
          </cell>
          <cell r="G952">
            <v>6</v>
          </cell>
        </row>
        <row r="953">
          <cell r="A953" t="str">
            <v>BGD</v>
          </cell>
          <cell r="B953" t="str">
            <v>Middle</v>
          </cell>
          <cell r="C953" t="str">
            <v>2010 - 2022</v>
          </cell>
          <cell r="D953" t="str">
            <v>med_reg_gdp</v>
          </cell>
          <cell r="E953" t="str">
            <v>lfls1_s1_A0</v>
          </cell>
          <cell r="F953">
            <v>-0.28888872265815735</v>
          </cell>
          <cell r="G953">
            <v>6</v>
          </cell>
        </row>
        <row r="954">
          <cell r="A954" t="str">
            <v>BGD</v>
          </cell>
          <cell r="B954" t="str">
            <v>Middle</v>
          </cell>
          <cell r="C954" t="str">
            <v>2010 - 2022</v>
          </cell>
          <cell r="D954" t="str">
            <v>med_reg_gdp</v>
          </cell>
          <cell r="E954" t="str">
            <v>lfls1_s1_a1</v>
          </cell>
          <cell r="F954">
            <v>0.30435913801193237</v>
          </cell>
          <cell r="G954">
            <v>6</v>
          </cell>
        </row>
        <row r="955">
          <cell r="A955" t="str">
            <v>BGD</v>
          </cell>
          <cell r="B955" t="str">
            <v>Middle</v>
          </cell>
          <cell r="C955" t="str">
            <v>2010 - 2022</v>
          </cell>
          <cell r="D955" t="str">
            <v>med_reg_gdp</v>
          </cell>
          <cell r="E955" t="str">
            <v>lfls1_s1_a2</v>
          </cell>
          <cell r="F955">
            <v>-0.14548188447952271</v>
          </cell>
          <cell r="G955">
            <v>6</v>
          </cell>
        </row>
        <row r="956">
          <cell r="A956" t="str">
            <v>BGD</v>
          </cell>
          <cell r="B956" t="str">
            <v>Middle</v>
          </cell>
          <cell r="C956" t="str">
            <v>2010 - 2022</v>
          </cell>
          <cell r="D956" t="str">
            <v>med_reg_gdp</v>
          </cell>
          <cell r="E956" t="str">
            <v>lfls1_s1_a3</v>
          </cell>
          <cell r="F956">
            <v>19.342926025390625</v>
          </cell>
          <cell r="G956">
            <v>6</v>
          </cell>
        </row>
        <row r="957">
          <cell r="A957" t="str">
            <v>BGD</v>
          </cell>
          <cell r="B957" t="str">
            <v>Middle</v>
          </cell>
          <cell r="C957" t="str">
            <v>2010 - 2022</v>
          </cell>
          <cell r="D957" t="str">
            <v>med_reg_gdp</v>
          </cell>
          <cell r="E957" t="str">
            <v>lfls1_s1_a4</v>
          </cell>
          <cell r="F957">
            <v>3.1236741542816162</v>
          </cell>
          <cell r="G957">
            <v>6</v>
          </cell>
        </row>
        <row r="958">
          <cell r="A958" t="str">
            <v>BGD</v>
          </cell>
          <cell r="B958" t="str">
            <v>Middle</v>
          </cell>
          <cell r="C958" t="str">
            <v>2010 - 2022</v>
          </cell>
          <cell r="D958" t="str">
            <v>med_reg_gdp</v>
          </cell>
          <cell r="E958" t="str">
            <v>lfls1_s1_a5</v>
          </cell>
          <cell r="F958">
            <v>1.3584527969360352</v>
          </cell>
          <cell r="G958">
            <v>6</v>
          </cell>
        </row>
        <row r="959">
          <cell r="A959" t="str">
            <v>BGD</v>
          </cell>
          <cell r="B959" t="str">
            <v>Middle</v>
          </cell>
          <cell r="C959" t="str">
            <v>2010 - 2022</v>
          </cell>
          <cell r="D959" t="str">
            <v>med_reg_gdp</v>
          </cell>
          <cell r="E959" t="str">
            <v>lfls1_s1_a6</v>
          </cell>
          <cell r="F959">
            <v>-1.8815557956695557</v>
          </cell>
          <cell r="G959">
            <v>6</v>
          </cell>
        </row>
        <row r="960">
          <cell r="A960" t="str">
            <v>BGD</v>
          </cell>
          <cell r="B960" t="str">
            <v>Middle</v>
          </cell>
          <cell r="C960" t="str">
            <v>2010 - 2022</v>
          </cell>
          <cell r="D960" t="str">
            <v>med_reg_gdp</v>
          </cell>
          <cell r="E960" t="str">
            <v>lfprod_s0_a1</v>
          </cell>
          <cell r="F960">
            <v>-2.8095743656158447</v>
          </cell>
          <cell r="G960">
            <v>6</v>
          </cell>
        </row>
        <row r="961">
          <cell r="A961" t="str">
            <v>BGD</v>
          </cell>
          <cell r="B961" t="str">
            <v>Middle</v>
          </cell>
          <cell r="C961" t="str">
            <v>2010 - 2022</v>
          </cell>
          <cell r="D961" t="str">
            <v>med_reg_gdp</v>
          </cell>
          <cell r="E961" t="str">
            <v>lfprod_s0_a2</v>
          </cell>
          <cell r="F961">
            <v>1.8894070386886597</v>
          </cell>
          <cell r="G961">
            <v>6</v>
          </cell>
        </row>
        <row r="962">
          <cell r="A962" t="str">
            <v>BGD</v>
          </cell>
          <cell r="B962" t="str">
            <v>Middle</v>
          </cell>
          <cell r="C962" t="str">
            <v>2010 - 2022</v>
          </cell>
          <cell r="D962" t="str">
            <v>med_reg_gdp</v>
          </cell>
          <cell r="E962" t="str">
            <v>lfprod_s0_a3</v>
          </cell>
          <cell r="F962">
            <v>6.1163125038146973</v>
          </cell>
          <cell r="G962">
            <v>6</v>
          </cell>
        </row>
        <row r="963">
          <cell r="A963" t="str">
            <v>BGD</v>
          </cell>
          <cell r="B963" t="str">
            <v>Middle</v>
          </cell>
          <cell r="C963" t="str">
            <v>2010 - 2022</v>
          </cell>
          <cell r="D963" t="str">
            <v>med_reg_gdp</v>
          </cell>
          <cell r="E963" t="str">
            <v>lfprod_s0_a4</v>
          </cell>
          <cell r="F963">
            <v>-2.3475797176361084</v>
          </cell>
          <cell r="G963">
            <v>6</v>
          </cell>
        </row>
        <row r="964">
          <cell r="A964" t="str">
            <v>BGD</v>
          </cell>
          <cell r="B964" t="str">
            <v>Middle</v>
          </cell>
          <cell r="C964" t="str">
            <v>2010 - 2022</v>
          </cell>
          <cell r="D964" t="str">
            <v>med_reg_gdp</v>
          </cell>
          <cell r="E964" t="str">
            <v>lfprod_s0_a5</v>
          </cell>
          <cell r="F964">
            <v>-2.9179399013519287</v>
          </cell>
          <cell r="G964">
            <v>6</v>
          </cell>
        </row>
        <row r="965">
          <cell r="A965" t="str">
            <v>BGD</v>
          </cell>
          <cell r="B965" t="str">
            <v>Middle</v>
          </cell>
          <cell r="C965" t="str">
            <v>2010 - 2022</v>
          </cell>
          <cell r="D965" t="str">
            <v>med_reg_gdp</v>
          </cell>
          <cell r="E965" t="str">
            <v>lfprod_s0_a6</v>
          </cell>
          <cell r="F965">
            <v>0.68551301956176758</v>
          </cell>
          <cell r="G965">
            <v>6</v>
          </cell>
        </row>
        <row r="966">
          <cell r="A966" t="str">
            <v>BGD</v>
          </cell>
          <cell r="B966" t="str">
            <v>Middle</v>
          </cell>
          <cell r="C966" t="str">
            <v>2010 - 2022</v>
          </cell>
          <cell r="D966" t="str">
            <v>med_reg_gdp</v>
          </cell>
          <cell r="E966" t="str">
            <v>lfprod_s1_a1</v>
          </cell>
          <cell r="F966">
            <v>-0.69564086198806763</v>
          </cell>
          <cell r="G966">
            <v>6</v>
          </cell>
        </row>
        <row r="967">
          <cell r="A967" t="str">
            <v>BGD</v>
          </cell>
          <cell r="B967" t="str">
            <v>Middle</v>
          </cell>
          <cell r="C967" t="str">
            <v>2010 - 2022</v>
          </cell>
          <cell r="D967" t="str">
            <v>med_reg_gdp</v>
          </cell>
          <cell r="E967" t="str">
            <v>lfprod_s1_a2</v>
          </cell>
          <cell r="F967">
            <v>-1.1454819440841675</v>
          </cell>
          <cell r="G967">
            <v>6</v>
          </cell>
        </row>
        <row r="968">
          <cell r="A968" t="str">
            <v>BGD</v>
          </cell>
          <cell r="B968" t="str">
            <v>Middle</v>
          </cell>
          <cell r="C968" t="str">
            <v>2010 - 2022</v>
          </cell>
          <cell r="D968" t="str">
            <v>med_reg_gdp</v>
          </cell>
          <cell r="E968" t="str">
            <v>lfprod_s1_a3</v>
          </cell>
          <cell r="F968">
            <v>18.342926025390625</v>
          </cell>
          <cell r="G968">
            <v>6</v>
          </cell>
        </row>
        <row r="969">
          <cell r="A969" t="str">
            <v>BGD</v>
          </cell>
          <cell r="B969" t="str">
            <v>Middle</v>
          </cell>
          <cell r="C969" t="str">
            <v>2010 - 2022</v>
          </cell>
          <cell r="D969" t="str">
            <v>med_reg_gdp</v>
          </cell>
          <cell r="E969" t="str">
            <v>lfprod_s1_a4</v>
          </cell>
          <cell r="F969">
            <v>2.1236741542816162</v>
          </cell>
          <cell r="G969">
            <v>6</v>
          </cell>
        </row>
        <row r="970">
          <cell r="A970" t="str">
            <v>BGD</v>
          </cell>
          <cell r="B970" t="str">
            <v>Middle</v>
          </cell>
          <cell r="C970" t="str">
            <v>2010 - 2022</v>
          </cell>
          <cell r="D970" t="str">
            <v>med_reg_gdp</v>
          </cell>
          <cell r="E970" t="str">
            <v>lfprod_s1_a5</v>
          </cell>
          <cell r="F970">
            <v>0.35845279693603516</v>
          </cell>
          <cell r="G970">
            <v>6</v>
          </cell>
        </row>
        <row r="971">
          <cell r="A971" t="str">
            <v>BGD</v>
          </cell>
          <cell r="B971" t="str">
            <v>Middle</v>
          </cell>
          <cell r="C971" t="str">
            <v>2010 - 2022</v>
          </cell>
          <cell r="D971" t="str">
            <v>med_reg_gdp</v>
          </cell>
          <cell r="E971" t="str">
            <v>lfprod_s1_a6</v>
          </cell>
          <cell r="F971">
            <v>-2.8815557956695557</v>
          </cell>
          <cell r="G971">
            <v>6</v>
          </cell>
        </row>
        <row r="972">
          <cell r="A972" t="str">
            <v>BGD</v>
          </cell>
          <cell r="B972" t="str">
            <v>Middle</v>
          </cell>
          <cell r="C972" t="str">
            <v>2010 - 2022</v>
          </cell>
          <cell r="D972" t="str">
            <v>med_reg_iter</v>
          </cell>
          <cell r="E972" t="str">
            <v>lfls12_S0_A0</v>
          </cell>
          <cell r="F972">
            <v>0.359465092420578</v>
          </cell>
          <cell r="G972">
            <v>6</v>
          </cell>
        </row>
        <row r="973">
          <cell r="A973" t="str">
            <v>BGD</v>
          </cell>
          <cell r="B973" t="str">
            <v>Middle</v>
          </cell>
          <cell r="C973" t="str">
            <v>2010 - 2022</v>
          </cell>
          <cell r="D973" t="str">
            <v>med_reg_iter</v>
          </cell>
          <cell r="E973" t="str">
            <v>lfls1_S0_A0</v>
          </cell>
          <cell r="F973">
            <v>0.35036280751228333</v>
          </cell>
          <cell r="G973">
            <v>6</v>
          </cell>
        </row>
        <row r="974">
          <cell r="A974" t="str">
            <v>BGD</v>
          </cell>
          <cell r="B974" t="str">
            <v>Middle</v>
          </cell>
          <cell r="C974" t="str">
            <v>2010 - 2022</v>
          </cell>
          <cell r="D974" t="str">
            <v>med_reg_iter</v>
          </cell>
          <cell r="E974" t="str">
            <v>lfls1_S0_a1</v>
          </cell>
          <cell r="F974">
            <v>-0.31588190793991089</v>
          </cell>
          <cell r="G974">
            <v>6</v>
          </cell>
        </row>
        <row r="975">
          <cell r="A975" t="str">
            <v>BGD</v>
          </cell>
          <cell r="B975" t="str">
            <v>Middle</v>
          </cell>
          <cell r="C975" t="str">
            <v>2010 - 2022</v>
          </cell>
          <cell r="D975" t="str">
            <v>med_reg_iter</v>
          </cell>
          <cell r="E975" t="str">
            <v>lfls1_S0_a2</v>
          </cell>
          <cell r="F975">
            <v>2.9217557907104492</v>
          </cell>
          <cell r="G975">
            <v>6</v>
          </cell>
        </row>
        <row r="976">
          <cell r="A976" t="str">
            <v>BGD</v>
          </cell>
          <cell r="B976" t="str">
            <v>Middle</v>
          </cell>
          <cell r="C976" t="str">
            <v>2010 - 2022</v>
          </cell>
          <cell r="D976" t="str">
            <v>med_reg_iter</v>
          </cell>
          <cell r="E976" t="str">
            <v>lfls1_S0_a3</v>
          </cell>
          <cell r="F976">
            <v>8.7050590515136719</v>
          </cell>
          <cell r="G976">
            <v>6</v>
          </cell>
        </row>
        <row r="977">
          <cell r="A977" t="str">
            <v>BGD</v>
          </cell>
          <cell r="B977" t="str">
            <v>Middle</v>
          </cell>
          <cell r="C977" t="str">
            <v>2010 - 2022</v>
          </cell>
          <cell r="D977" t="str">
            <v>med_reg_iter</v>
          </cell>
          <cell r="E977" t="str">
            <v>lfls1_S0_a4</v>
          </cell>
          <cell r="F977">
            <v>-1.246379017829895</v>
          </cell>
          <cell r="G977">
            <v>6</v>
          </cell>
        </row>
        <row r="978">
          <cell r="A978" t="str">
            <v>BGD</v>
          </cell>
          <cell r="B978" t="str">
            <v>Middle</v>
          </cell>
          <cell r="C978" t="str">
            <v>2010 - 2022</v>
          </cell>
          <cell r="D978" t="str">
            <v>med_reg_iter</v>
          </cell>
          <cell r="E978" t="str">
            <v>lfls1_S0_a5</v>
          </cell>
          <cell r="F978">
            <v>-0.45282086730003357</v>
          </cell>
          <cell r="G978">
            <v>6</v>
          </cell>
        </row>
        <row r="979">
          <cell r="A979" t="str">
            <v>BGD</v>
          </cell>
          <cell r="B979" t="str">
            <v>Middle</v>
          </cell>
          <cell r="C979" t="str">
            <v>2010 - 2022</v>
          </cell>
          <cell r="D979" t="str">
            <v>med_reg_iter</v>
          </cell>
          <cell r="E979" t="str">
            <v>lfls1_S0_a6</v>
          </cell>
          <cell r="F979">
            <v>0.50772672891616821</v>
          </cell>
          <cell r="G979">
            <v>6</v>
          </cell>
        </row>
        <row r="980">
          <cell r="A980" t="str">
            <v>BGD</v>
          </cell>
          <cell r="B980" t="str">
            <v>Middle</v>
          </cell>
          <cell r="C980" t="str">
            <v>2010 - 2022</v>
          </cell>
          <cell r="D980" t="str">
            <v>med_reg_iter</v>
          </cell>
          <cell r="E980" t="str">
            <v>lfls1_s0_A0</v>
          </cell>
          <cell r="F980">
            <v>0.71782344579696655</v>
          </cell>
          <cell r="G980">
            <v>6</v>
          </cell>
        </row>
        <row r="981">
          <cell r="A981" t="str">
            <v>BGD</v>
          </cell>
          <cell r="B981" t="str">
            <v>Middle</v>
          </cell>
          <cell r="C981" t="str">
            <v>2010 - 2022</v>
          </cell>
          <cell r="D981" t="str">
            <v>med_reg_iter</v>
          </cell>
          <cell r="E981" t="str">
            <v>lfls1_s0_a1</v>
          </cell>
          <cell r="F981">
            <v>-1.8095742464065552</v>
          </cell>
          <cell r="G981">
            <v>6</v>
          </cell>
        </row>
        <row r="982">
          <cell r="A982" t="str">
            <v>BGD</v>
          </cell>
          <cell r="B982" t="str">
            <v>Middle</v>
          </cell>
          <cell r="C982" t="str">
            <v>2010 - 2022</v>
          </cell>
          <cell r="D982" t="str">
            <v>med_reg_iter</v>
          </cell>
          <cell r="E982" t="str">
            <v>lfls1_s0_a2</v>
          </cell>
          <cell r="F982">
            <v>2.8894069194793701</v>
          </cell>
          <cell r="G982">
            <v>6</v>
          </cell>
        </row>
        <row r="983">
          <cell r="A983" t="str">
            <v>BGD</v>
          </cell>
          <cell r="B983" t="str">
            <v>Middle</v>
          </cell>
          <cell r="C983" t="str">
            <v>2010 - 2022</v>
          </cell>
          <cell r="D983" t="str">
            <v>med_reg_iter</v>
          </cell>
          <cell r="E983" t="str">
            <v>lfls1_s0_a3</v>
          </cell>
          <cell r="F983">
            <v>7.1163125038146973</v>
          </cell>
          <cell r="G983">
            <v>6</v>
          </cell>
        </row>
        <row r="984">
          <cell r="A984" t="str">
            <v>BGD</v>
          </cell>
          <cell r="B984" t="str">
            <v>Middle</v>
          </cell>
          <cell r="C984" t="str">
            <v>2010 - 2022</v>
          </cell>
          <cell r="D984" t="str">
            <v>med_reg_iter</v>
          </cell>
          <cell r="E984" t="str">
            <v>lfls1_s0_a4</v>
          </cell>
          <cell r="F984">
            <v>-1.3475795984268188</v>
          </cell>
          <cell r="G984">
            <v>6</v>
          </cell>
        </row>
        <row r="985">
          <cell r="A985" t="str">
            <v>BGD</v>
          </cell>
          <cell r="B985" t="str">
            <v>Middle</v>
          </cell>
          <cell r="C985" t="str">
            <v>2010 - 2022</v>
          </cell>
          <cell r="D985" t="str">
            <v>med_reg_iter</v>
          </cell>
          <cell r="E985" t="str">
            <v>lfls1_s0_a5</v>
          </cell>
          <cell r="F985">
            <v>-1.9179397821426392</v>
          </cell>
          <cell r="G985">
            <v>6</v>
          </cell>
        </row>
        <row r="986">
          <cell r="A986" t="str">
            <v>BGD</v>
          </cell>
          <cell r="B986" t="str">
            <v>Middle</v>
          </cell>
          <cell r="C986" t="str">
            <v>2010 - 2022</v>
          </cell>
          <cell r="D986" t="str">
            <v>med_reg_iter</v>
          </cell>
          <cell r="E986" t="str">
            <v>lfls1_s0_a6</v>
          </cell>
          <cell r="F986">
            <v>1.6855130195617676</v>
          </cell>
          <cell r="G986">
            <v>6</v>
          </cell>
        </row>
        <row r="987">
          <cell r="A987" t="str">
            <v>BGD</v>
          </cell>
          <cell r="B987" t="str">
            <v>Middle</v>
          </cell>
          <cell r="C987" t="str">
            <v>2010 - 2022</v>
          </cell>
          <cell r="D987" t="str">
            <v>med_reg_iter</v>
          </cell>
          <cell r="E987" t="str">
            <v>lfls1_s1_A0</v>
          </cell>
          <cell r="F987">
            <v>-0.28888872265815735</v>
          </cell>
          <cell r="G987">
            <v>6</v>
          </cell>
        </row>
        <row r="988">
          <cell r="A988" t="str">
            <v>BGD</v>
          </cell>
          <cell r="B988" t="str">
            <v>Middle</v>
          </cell>
          <cell r="C988" t="str">
            <v>2010 - 2022</v>
          </cell>
          <cell r="D988" t="str">
            <v>med_reg_iter</v>
          </cell>
          <cell r="E988" t="str">
            <v>lfls1_s1_a1</v>
          </cell>
          <cell r="F988">
            <v>0.30435913801193237</v>
          </cell>
          <cell r="G988">
            <v>6</v>
          </cell>
        </row>
        <row r="989">
          <cell r="A989" t="str">
            <v>BGD</v>
          </cell>
          <cell r="B989" t="str">
            <v>Middle</v>
          </cell>
          <cell r="C989" t="str">
            <v>2010 - 2022</v>
          </cell>
          <cell r="D989" t="str">
            <v>med_reg_iter</v>
          </cell>
          <cell r="E989" t="str">
            <v>lfls1_s1_a2</v>
          </cell>
          <cell r="F989">
            <v>-0.14548188447952271</v>
          </cell>
          <cell r="G989">
            <v>6</v>
          </cell>
        </row>
        <row r="990">
          <cell r="A990" t="str">
            <v>BGD</v>
          </cell>
          <cell r="B990" t="str">
            <v>Middle</v>
          </cell>
          <cell r="C990" t="str">
            <v>2010 - 2022</v>
          </cell>
          <cell r="D990" t="str">
            <v>med_reg_iter</v>
          </cell>
          <cell r="E990" t="str">
            <v>lfls1_s1_a3</v>
          </cell>
          <cell r="F990">
            <v>19.342926025390625</v>
          </cell>
          <cell r="G990">
            <v>6</v>
          </cell>
        </row>
        <row r="991">
          <cell r="A991" t="str">
            <v>BGD</v>
          </cell>
          <cell r="B991" t="str">
            <v>Middle</v>
          </cell>
          <cell r="C991" t="str">
            <v>2010 - 2022</v>
          </cell>
          <cell r="D991" t="str">
            <v>med_reg_iter</v>
          </cell>
          <cell r="E991" t="str">
            <v>lfls1_s1_a4</v>
          </cell>
          <cell r="F991">
            <v>3.1236741542816162</v>
          </cell>
          <cell r="G991">
            <v>6</v>
          </cell>
        </row>
        <row r="992">
          <cell r="A992" t="str">
            <v>BGD</v>
          </cell>
          <cell r="B992" t="str">
            <v>Middle</v>
          </cell>
          <cell r="C992" t="str">
            <v>2010 - 2022</v>
          </cell>
          <cell r="D992" t="str">
            <v>med_reg_iter</v>
          </cell>
          <cell r="E992" t="str">
            <v>lfls1_s1_a5</v>
          </cell>
          <cell r="F992">
            <v>1.3584527969360352</v>
          </cell>
          <cell r="G992">
            <v>6</v>
          </cell>
        </row>
        <row r="993">
          <cell r="A993" t="str">
            <v>BGD</v>
          </cell>
          <cell r="B993" t="str">
            <v>Middle</v>
          </cell>
          <cell r="C993" t="str">
            <v>2010 - 2022</v>
          </cell>
          <cell r="D993" t="str">
            <v>med_reg_iter</v>
          </cell>
          <cell r="E993" t="str">
            <v>lfls1_s1_a6</v>
          </cell>
          <cell r="F993">
            <v>-1.8815557956695557</v>
          </cell>
          <cell r="G993">
            <v>6</v>
          </cell>
        </row>
        <row r="994">
          <cell r="A994" t="str">
            <v>BGD</v>
          </cell>
          <cell r="B994" t="str">
            <v>Middle</v>
          </cell>
          <cell r="C994" t="str">
            <v>2010 - 2022</v>
          </cell>
          <cell r="D994" t="str">
            <v>med_reg_iter</v>
          </cell>
          <cell r="E994" t="str">
            <v>lfprod_s0_a1</v>
          </cell>
          <cell r="F994">
            <v>-2.8095743656158447</v>
          </cell>
          <cell r="G994">
            <v>6</v>
          </cell>
        </row>
        <row r="995">
          <cell r="A995" t="str">
            <v>BGD</v>
          </cell>
          <cell r="B995" t="str">
            <v>Middle</v>
          </cell>
          <cell r="C995" t="str">
            <v>2010 - 2022</v>
          </cell>
          <cell r="D995" t="str">
            <v>med_reg_iter</v>
          </cell>
          <cell r="E995" t="str">
            <v>lfprod_s0_a2</v>
          </cell>
          <cell r="F995">
            <v>1.8894070386886597</v>
          </cell>
          <cell r="G995">
            <v>6</v>
          </cell>
        </row>
        <row r="996">
          <cell r="A996" t="str">
            <v>BGD</v>
          </cell>
          <cell r="B996" t="str">
            <v>Middle</v>
          </cell>
          <cell r="C996" t="str">
            <v>2010 - 2022</v>
          </cell>
          <cell r="D996" t="str">
            <v>med_reg_iter</v>
          </cell>
          <cell r="E996" t="str">
            <v>lfprod_s0_a3</v>
          </cell>
          <cell r="F996">
            <v>6.1163125038146973</v>
          </cell>
          <cell r="G996">
            <v>6</v>
          </cell>
        </row>
        <row r="997">
          <cell r="A997" t="str">
            <v>BGD</v>
          </cell>
          <cell r="B997" t="str">
            <v>Middle</v>
          </cell>
          <cell r="C997" t="str">
            <v>2010 - 2022</v>
          </cell>
          <cell r="D997" t="str">
            <v>med_reg_iter</v>
          </cell>
          <cell r="E997" t="str">
            <v>lfprod_s0_a4</v>
          </cell>
          <cell r="F997">
            <v>-2.3475797176361084</v>
          </cell>
          <cell r="G997">
            <v>6</v>
          </cell>
        </row>
        <row r="998">
          <cell r="A998" t="str">
            <v>BGD</v>
          </cell>
          <cell r="B998" t="str">
            <v>Middle</v>
          </cell>
          <cell r="C998" t="str">
            <v>2010 - 2022</v>
          </cell>
          <cell r="D998" t="str">
            <v>med_reg_iter</v>
          </cell>
          <cell r="E998" t="str">
            <v>lfprod_s0_a5</v>
          </cell>
          <cell r="F998">
            <v>-2.9179399013519287</v>
          </cell>
          <cell r="G998">
            <v>6</v>
          </cell>
        </row>
        <row r="999">
          <cell r="A999" t="str">
            <v>BGD</v>
          </cell>
          <cell r="B999" t="str">
            <v>Middle</v>
          </cell>
          <cell r="C999" t="str">
            <v>2010 - 2022</v>
          </cell>
          <cell r="D999" t="str">
            <v>med_reg_iter</v>
          </cell>
          <cell r="E999" t="str">
            <v>lfprod_s0_a6</v>
          </cell>
          <cell r="F999">
            <v>0.68551301956176758</v>
          </cell>
          <cell r="G999">
            <v>6</v>
          </cell>
        </row>
        <row r="1000">
          <cell r="A1000" t="str">
            <v>BGD</v>
          </cell>
          <cell r="B1000" t="str">
            <v>Middle</v>
          </cell>
          <cell r="C1000" t="str">
            <v>2010 - 2022</v>
          </cell>
          <cell r="D1000" t="str">
            <v>med_reg_iter</v>
          </cell>
          <cell r="E1000" t="str">
            <v>lfprod_s1_a1</v>
          </cell>
          <cell r="F1000">
            <v>-0.69564086198806763</v>
          </cell>
          <cell r="G1000">
            <v>6</v>
          </cell>
        </row>
        <row r="1001">
          <cell r="A1001" t="str">
            <v>BGD</v>
          </cell>
          <cell r="B1001" t="str">
            <v>Middle</v>
          </cell>
          <cell r="C1001" t="str">
            <v>2010 - 2022</v>
          </cell>
          <cell r="D1001" t="str">
            <v>med_reg_iter</v>
          </cell>
          <cell r="E1001" t="str">
            <v>lfprod_s1_a2</v>
          </cell>
          <cell r="F1001">
            <v>-1.1454819440841675</v>
          </cell>
          <cell r="G1001">
            <v>6</v>
          </cell>
        </row>
        <row r="1002">
          <cell r="A1002" t="str">
            <v>BGD</v>
          </cell>
          <cell r="B1002" t="str">
            <v>Middle</v>
          </cell>
          <cell r="C1002" t="str">
            <v>2010 - 2022</v>
          </cell>
          <cell r="D1002" t="str">
            <v>med_reg_iter</v>
          </cell>
          <cell r="E1002" t="str">
            <v>lfprod_s1_a3</v>
          </cell>
          <cell r="F1002">
            <v>18.342926025390625</v>
          </cell>
          <cell r="G1002">
            <v>6</v>
          </cell>
        </row>
        <row r="1003">
          <cell r="A1003" t="str">
            <v>BGD</v>
          </cell>
          <cell r="B1003" t="str">
            <v>Middle</v>
          </cell>
          <cell r="C1003" t="str">
            <v>2010 - 2022</v>
          </cell>
          <cell r="D1003" t="str">
            <v>med_reg_iter</v>
          </cell>
          <cell r="E1003" t="str">
            <v>lfprod_s1_a4</v>
          </cell>
          <cell r="F1003">
            <v>2.1236741542816162</v>
          </cell>
          <cell r="G1003">
            <v>6</v>
          </cell>
        </row>
        <row r="1004">
          <cell r="A1004" t="str">
            <v>BGD</v>
          </cell>
          <cell r="B1004" t="str">
            <v>Middle</v>
          </cell>
          <cell r="C1004" t="str">
            <v>2010 - 2022</v>
          </cell>
          <cell r="D1004" t="str">
            <v>med_reg_iter</v>
          </cell>
          <cell r="E1004" t="str">
            <v>lfprod_s1_a5</v>
          </cell>
          <cell r="F1004">
            <v>0.35845279693603516</v>
          </cell>
          <cell r="G1004">
            <v>6</v>
          </cell>
        </row>
        <row r="1005">
          <cell r="A1005" t="str">
            <v>BGD</v>
          </cell>
          <cell r="B1005" t="str">
            <v>Middle</v>
          </cell>
          <cell r="C1005" t="str">
            <v>2010 - 2022</v>
          </cell>
          <cell r="D1005" t="str">
            <v>med_reg_iter</v>
          </cell>
          <cell r="E1005" t="str">
            <v>lfprod_s1_a6</v>
          </cell>
          <cell r="F1005">
            <v>-2.8815557956695557</v>
          </cell>
          <cell r="G1005">
            <v>6</v>
          </cell>
        </row>
        <row r="1006">
          <cell r="A1006" t="str">
            <v>BGD</v>
          </cell>
          <cell r="B1006" t="str">
            <v>Middle</v>
          </cell>
          <cell r="C1006" t="str">
            <v>2010 - 2022</v>
          </cell>
          <cell r="D1006" t="str">
            <v>reg</v>
          </cell>
          <cell r="E1006" t="str">
            <v>lfls12_S0_A0</v>
          </cell>
          <cell r="F1006">
            <v>0.35131591558456421</v>
          </cell>
          <cell r="G1006">
            <v>6</v>
          </cell>
        </row>
        <row r="1007">
          <cell r="A1007" t="str">
            <v>BGD</v>
          </cell>
          <cell r="B1007" t="str">
            <v>Middle</v>
          </cell>
          <cell r="C1007" t="str">
            <v>2010 - 2022</v>
          </cell>
          <cell r="D1007" t="str">
            <v>reg</v>
          </cell>
          <cell r="E1007" t="str">
            <v>lfls1_S0_A0</v>
          </cell>
          <cell r="F1007">
            <v>0.34650024771690369</v>
          </cell>
          <cell r="G1007">
            <v>6</v>
          </cell>
        </row>
        <row r="1008">
          <cell r="A1008" t="str">
            <v>BGD</v>
          </cell>
          <cell r="B1008" t="str">
            <v>Middle</v>
          </cell>
          <cell r="C1008" t="str">
            <v>2010 - 2022</v>
          </cell>
          <cell r="D1008" t="str">
            <v>reg</v>
          </cell>
          <cell r="E1008" t="str">
            <v>lfls1_S0_a1</v>
          </cell>
          <cell r="F1008">
            <v>0.40842989087104797</v>
          </cell>
          <cell r="G1008">
            <v>6</v>
          </cell>
        </row>
        <row r="1009">
          <cell r="A1009" t="str">
            <v>BGD</v>
          </cell>
          <cell r="B1009" t="str">
            <v>Middle</v>
          </cell>
          <cell r="C1009" t="str">
            <v>2010 - 2022</v>
          </cell>
          <cell r="D1009" t="str">
            <v>reg</v>
          </cell>
          <cell r="E1009" t="str">
            <v>lfls1_S0_a2</v>
          </cell>
          <cell r="F1009">
            <v>0.43336650729179382</v>
          </cell>
          <cell r="G1009">
            <v>6</v>
          </cell>
        </row>
        <row r="1010">
          <cell r="A1010" t="str">
            <v>BGD</v>
          </cell>
          <cell r="B1010" t="str">
            <v>Middle</v>
          </cell>
          <cell r="C1010" t="str">
            <v>2010 - 2022</v>
          </cell>
          <cell r="D1010" t="str">
            <v>reg</v>
          </cell>
          <cell r="E1010" t="str">
            <v>lfls1_S0_a3</v>
          </cell>
          <cell r="F1010">
            <v>7.2327390313148499E-2</v>
          </cell>
          <cell r="G1010">
            <v>6</v>
          </cell>
        </row>
        <row r="1011">
          <cell r="A1011" t="str">
            <v>BGD</v>
          </cell>
          <cell r="B1011" t="str">
            <v>Middle</v>
          </cell>
          <cell r="C1011" t="str">
            <v>2010 - 2022</v>
          </cell>
          <cell r="D1011" t="str">
            <v>reg</v>
          </cell>
          <cell r="E1011" t="str">
            <v>lfls1_S0_a4</v>
          </cell>
          <cell r="F1011">
            <v>0.70252597332000732</v>
          </cell>
          <cell r="G1011">
            <v>6</v>
          </cell>
        </row>
        <row r="1012">
          <cell r="A1012" t="str">
            <v>BGD</v>
          </cell>
          <cell r="B1012" t="str">
            <v>Middle</v>
          </cell>
          <cell r="C1012" t="str">
            <v>2010 - 2022</v>
          </cell>
          <cell r="D1012" t="str">
            <v>reg</v>
          </cell>
          <cell r="E1012" t="str">
            <v>lfls1_S0_a5</v>
          </cell>
          <cell r="F1012">
            <v>0.49687746167182922</v>
          </cell>
          <cell r="G1012">
            <v>6</v>
          </cell>
        </row>
        <row r="1013">
          <cell r="A1013" t="str">
            <v>BGD</v>
          </cell>
          <cell r="B1013" t="str">
            <v>Middle</v>
          </cell>
          <cell r="C1013" t="str">
            <v>2010 - 2022</v>
          </cell>
          <cell r="D1013" t="str">
            <v>reg</v>
          </cell>
          <cell r="E1013" t="str">
            <v>lfls1_S0_a6</v>
          </cell>
          <cell r="F1013">
            <v>0.62616395950317383</v>
          </cell>
          <cell r="G1013">
            <v>6</v>
          </cell>
        </row>
        <row r="1014">
          <cell r="A1014" t="str">
            <v>BGD</v>
          </cell>
          <cell r="B1014" t="str">
            <v>Middle</v>
          </cell>
          <cell r="C1014" t="str">
            <v>2010 - 2022</v>
          </cell>
          <cell r="D1014" t="str">
            <v>reg</v>
          </cell>
          <cell r="E1014" t="str">
            <v>lfls1_s0_A0</v>
          </cell>
          <cell r="F1014">
            <v>0.26677244901657104</v>
          </cell>
          <cell r="G1014">
            <v>6</v>
          </cell>
        </row>
        <row r="1015">
          <cell r="A1015" t="str">
            <v>BGD</v>
          </cell>
          <cell r="B1015" t="str">
            <v>Middle</v>
          </cell>
          <cell r="C1015" t="str">
            <v>2010 - 2022</v>
          </cell>
          <cell r="D1015" t="str">
            <v>reg</v>
          </cell>
          <cell r="E1015" t="str">
            <v>lfls1_s0_a1</v>
          </cell>
          <cell r="F1015">
            <v>0.38607856631278992</v>
          </cell>
          <cell r="G1015">
            <v>6</v>
          </cell>
        </row>
        <row r="1016">
          <cell r="A1016" t="str">
            <v>BGD</v>
          </cell>
          <cell r="B1016" t="str">
            <v>Middle</v>
          </cell>
          <cell r="C1016" t="str">
            <v>2010 - 2022</v>
          </cell>
          <cell r="D1016" t="str">
            <v>reg</v>
          </cell>
          <cell r="E1016" t="str">
            <v>lfls1_s0_a2</v>
          </cell>
          <cell r="F1016">
            <v>0.43018791079521179</v>
          </cell>
          <cell r="G1016">
            <v>6</v>
          </cell>
        </row>
        <row r="1017">
          <cell r="A1017" t="str">
            <v>BGD</v>
          </cell>
          <cell r="B1017" t="str">
            <v>Middle</v>
          </cell>
          <cell r="C1017" t="str">
            <v>2010 - 2022</v>
          </cell>
          <cell r="D1017" t="str">
            <v>reg</v>
          </cell>
          <cell r="E1017" t="str">
            <v>lfls1_s0_a3</v>
          </cell>
          <cell r="F1017">
            <v>1.6714155208319426E-4</v>
          </cell>
          <cell r="G1017">
            <v>6</v>
          </cell>
        </row>
        <row r="1018">
          <cell r="A1018" t="str">
            <v>BGD</v>
          </cell>
          <cell r="B1018" t="str">
            <v>Middle</v>
          </cell>
          <cell r="C1018" t="str">
            <v>2010 - 2022</v>
          </cell>
          <cell r="D1018" t="str">
            <v>reg</v>
          </cell>
          <cell r="E1018" t="str">
            <v>lfls1_s0_a4</v>
          </cell>
          <cell r="F1018">
            <v>0.67941153049468994</v>
          </cell>
          <cell r="G1018">
            <v>6</v>
          </cell>
        </row>
        <row r="1019">
          <cell r="A1019" t="str">
            <v>BGD</v>
          </cell>
          <cell r="B1019" t="str">
            <v>Middle</v>
          </cell>
          <cell r="C1019" t="str">
            <v>2010 - 2022</v>
          </cell>
          <cell r="D1019" t="str">
            <v>reg</v>
          </cell>
          <cell r="E1019" t="str">
            <v>lfls1_s0_a5</v>
          </cell>
          <cell r="F1019">
            <v>0.72901296615600586</v>
          </cell>
          <cell r="G1019">
            <v>6</v>
          </cell>
        </row>
        <row r="1020">
          <cell r="A1020" t="str">
            <v>BGD</v>
          </cell>
          <cell r="B1020" t="str">
            <v>Middle</v>
          </cell>
          <cell r="C1020" t="str">
            <v>2010 - 2022</v>
          </cell>
          <cell r="D1020" t="str">
            <v>reg</v>
          </cell>
          <cell r="E1020" t="str">
            <v>lfls1_s0_a6</v>
          </cell>
          <cell r="F1020">
            <v>0.37973201274871826</v>
          </cell>
          <cell r="G1020">
            <v>6</v>
          </cell>
        </row>
        <row r="1021">
          <cell r="A1021" t="str">
            <v>BGD</v>
          </cell>
          <cell r="B1021" t="str">
            <v>Middle</v>
          </cell>
          <cell r="C1021" t="str">
            <v>2010 - 2022</v>
          </cell>
          <cell r="D1021" t="str">
            <v>reg</v>
          </cell>
          <cell r="E1021" t="str">
            <v>lfls1_s1_A0</v>
          </cell>
          <cell r="F1021">
            <v>0.70505416393280029</v>
          </cell>
          <cell r="G1021">
            <v>6</v>
          </cell>
        </row>
        <row r="1022">
          <cell r="A1022" t="str">
            <v>BGD</v>
          </cell>
          <cell r="B1022" t="str">
            <v>Middle</v>
          </cell>
          <cell r="C1022" t="str">
            <v>2010 - 2022</v>
          </cell>
          <cell r="D1022" t="str">
            <v>reg</v>
          </cell>
          <cell r="E1022" t="str">
            <v>lfls1_s1_a1</v>
          </cell>
          <cell r="F1022">
            <v>1.3045108318328857</v>
          </cell>
          <cell r="G1022">
            <v>6</v>
          </cell>
        </row>
        <row r="1023">
          <cell r="A1023" t="str">
            <v>BGD</v>
          </cell>
          <cell r="B1023" t="str">
            <v>Middle</v>
          </cell>
          <cell r="C1023" t="str">
            <v>2010 - 2022</v>
          </cell>
          <cell r="D1023" t="str">
            <v>reg</v>
          </cell>
          <cell r="E1023" t="str">
            <v>lfls1_s1_a2</v>
          </cell>
          <cell r="F1023">
            <v>0.54793280363082886</v>
          </cell>
          <cell r="G1023">
            <v>6</v>
          </cell>
        </row>
        <row r="1024">
          <cell r="A1024" t="str">
            <v>BGD</v>
          </cell>
          <cell r="B1024" t="str">
            <v>Middle</v>
          </cell>
          <cell r="C1024" t="str">
            <v>2010 - 2022</v>
          </cell>
          <cell r="D1024" t="str">
            <v>reg</v>
          </cell>
          <cell r="E1024" t="str">
            <v>lfls1_s1_a3</v>
          </cell>
          <cell r="F1024">
            <v>1.0638836622238159</v>
          </cell>
          <cell r="G1024">
            <v>6</v>
          </cell>
        </row>
        <row r="1025">
          <cell r="A1025" t="str">
            <v>BGD</v>
          </cell>
          <cell r="B1025" t="str">
            <v>Middle</v>
          </cell>
          <cell r="C1025" t="str">
            <v>2010 - 2022</v>
          </cell>
          <cell r="D1025" t="str">
            <v>reg</v>
          </cell>
          <cell r="E1025" t="str">
            <v>lfls1_s1_a4</v>
          </cell>
          <cell r="F1025">
            <v>1.701790452003479</v>
          </cell>
          <cell r="G1025">
            <v>6</v>
          </cell>
        </row>
        <row r="1026">
          <cell r="A1026" t="str">
            <v>BGD</v>
          </cell>
          <cell r="B1026" t="str">
            <v>Middle</v>
          </cell>
          <cell r="C1026" t="str">
            <v>2010 - 2022</v>
          </cell>
          <cell r="D1026" t="str">
            <v>reg</v>
          </cell>
          <cell r="E1026" t="str">
            <v>lfls1_s1_a5</v>
          </cell>
          <cell r="F1026">
            <v>0.1527150422334671</v>
          </cell>
          <cell r="G1026">
            <v>6</v>
          </cell>
        </row>
        <row r="1027">
          <cell r="A1027" t="str">
            <v>BGD</v>
          </cell>
          <cell r="B1027" t="str">
            <v>Middle</v>
          </cell>
          <cell r="C1027" t="str">
            <v>2010 - 2022</v>
          </cell>
          <cell r="D1027" t="str">
            <v>reg</v>
          </cell>
          <cell r="E1027" t="str">
            <v>lfls1_s1_a6</v>
          </cell>
          <cell r="F1027">
            <v>1.4590518474578857</v>
          </cell>
          <cell r="G1027">
            <v>6</v>
          </cell>
        </row>
        <row r="1028">
          <cell r="A1028" t="str">
            <v>BGD</v>
          </cell>
          <cell r="B1028" t="str">
            <v>Middle</v>
          </cell>
          <cell r="C1028" t="str">
            <v>2010 - 2022</v>
          </cell>
          <cell r="D1028" t="str">
            <v>reg</v>
          </cell>
          <cell r="E1028" t="str">
            <v>lfprod_s0_a1</v>
          </cell>
          <cell r="F1028">
            <v>-0.6139214038848877</v>
          </cell>
          <cell r="G1028">
            <v>6</v>
          </cell>
        </row>
        <row r="1029">
          <cell r="A1029" t="str">
            <v>BGD</v>
          </cell>
          <cell r="B1029" t="str">
            <v>Middle</v>
          </cell>
          <cell r="C1029" t="str">
            <v>2010 - 2022</v>
          </cell>
          <cell r="D1029" t="str">
            <v>reg</v>
          </cell>
          <cell r="E1029" t="str">
            <v>lfprod_s0_a2</v>
          </cell>
          <cell r="F1029">
            <v>-0.5698121190071106</v>
          </cell>
          <cell r="G1029">
            <v>6</v>
          </cell>
        </row>
        <row r="1030">
          <cell r="A1030" t="str">
            <v>BGD</v>
          </cell>
          <cell r="B1030" t="str">
            <v>Middle</v>
          </cell>
          <cell r="C1030" t="str">
            <v>2010 - 2022</v>
          </cell>
          <cell r="D1030" t="str">
            <v>reg</v>
          </cell>
          <cell r="E1030" t="str">
            <v>lfprod_s0_a3</v>
          </cell>
          <cell r="F1030">
            <v>-0.9998328685760498</v>
          </cell>
          <cell r="G1030">
            <v>6</v>
          </cell>
        </row>
        <row r="1031">
          <cell r="A1031" t="str">
            <v>BGD</v>
          </cell>
          <cell r="B1031" t="str">
            <v>Middle</v>
          </cell>
          <cell r="C1031" t="str">
            <v>2010 - 2022</v>
          </cell>
          <cell r="D1031" t="str">
            <v>reg</v>
          </cell>
          <cell r="E1031" t="str">
            <v>lfprod_s0_a4</v>
          </cell>
          <cell r="F1031">
            <v>-0.32058849930763245</v>
          </cell>
          <cell r="G1031">
            <v>6</v>
          </cell>
        </row>
        <row r="1032">
          <cell r="A1032" t="str">
            <v>BGD</v>
          </cell>
          <cell r="B1032" t="str">
            <v>Middle</v>
          </cell>
          <cell r="C1032" t="str">
            <v>2010 - 2022</v>
          </cell>
          <cell r="D1032" t="str">
            <v>reg</v>
          </cell>
          <cell r="E1032" t="str">
            <v>lfprod_s0_a5</v>
          </cell>
          <cell r="F1032">
            <v>-0.27098700404167175</v>
          </cell>
          <cell r="G1032">
            <v>6</v>
          </cell>
        </row>
        <row r="1033">
          <cell r="A1033" t="str">
            <v>BGD</v>
          </cell>
          <cell r="B1033" t="str">
            <v>Middle</v>
          </cell>
          <cell r="C1033" t="str">
            <v>2010 - 2022</v>
          </cell>
          <cell r="D1033" t="str">
            <v>reg</v>
          </cell>
          <cell r="E1033" t="str">
            <v>lfprod_s0_a6</v>
          </cell>
          <cell r="F1033">
            <v>-0.62026798725128174</v>
          </cell>
          <cell r="G1033">
            <v>6</v>
          </cell>
        </row>
        <row r="1034">
          <cell r="A1034" t="str">
            <v>BGD</v>
          </cell>
          <cell r="B1034" t="str">
            <v>Middle</v>
          </cell>
          <cell r="C1034" t="str">
            <v>2010 - 2022</v>
          </cell>
          <cell r="D1034" t="str">
            <v>reg</v>
          </cell>
          <cell r="E1034" t="str">
            <v>lfprod_s1_a1</v>
          </cell>
          <cell r="F1034">
            <v>0.30451083183288574</v>
          </cell>
          <cell r="G1034">
            <v>6</v>
          </cell>
        </row>
        <row r="1035">
          <cell r="A1035" t="str">
            <v>BGD</v>
          </cell>
          <cell r="B1035" t="str">
            <v>Middle</v>
          </cell>
          <cell r="C1035" t="str">
            <v>2010 - 2022</v>
          </cell>
          <cell r="D1035" t="str">
            <v>reg</v>
          </cell>
          <cell r="E1035" t="str">
            <v>lfprod_s1_a2</v>
          </cell>
          <cell r="F1035">
            <v>-0.45206719636917114</v>
          </cell>
          <cell r="G1035">
            <v>6</v>
          </cell>
        </row>
        <row r="1036">
          <cell r="A1036" t="str">
            <v>BGD</v>
          </cell>
          <cell r="B1036" t="str">
            <v>Middle</v>
          </cell>
          <cell r="C1036" t="str">
            <v>2010 - 2022</v>
          </cell>
          <cell r="D1036" t="str">
            <v>reg</v>
          </cell>
          <cell r="E1036" t="str">
            <v>lfprod_s1_a3</v>
          </cell>
          <cell r="F1036">
            <v>6.3883639872074127E-2</v>
          </cell>
          <cell r="G1036">
            <v>6</v>
          </cell>
        </row>
        <row r="1037">
          <cell r="A1037" t="str">
            <v>BGD</v>
          </cell>
          <cell r="B1037" t="str">
            <v>Middle</v>
          </cell>
          <cell r="C1037" t="str">
            <v>2010 - 2022</v>
          </cell>
          <cell r="D1037" t="str">
            <v>reg</v>
          </cell>
          <cell r="E1037" t="str">
            <v>lfprod_s1_a4</v>
          </cell>
          <cell r="F1037">
            <v>0.701790452003479</v>
          </cell>
          <cell r="G1037">
            <v>6</v>
          </cell>
        </row>
        <row r="1038">
          <cell r="A1038" t="str">
            <v>BGD</v>
          </cell>
          <cell r="B1038" t="str">
            <v>Middle</v>
          </cell>
          <cell r="C1038" t="str">
            <v>2010 - 2022</v>
          </cell>
          <cell r="D1038" t="str">
            <v>reg</v>
          </cell>
          <cell r="E1038" t="str">
            <v>lfprod_s1_a5</v>
          </cell>
          <cell r="F1038">
            <v>-0.84728497266769409</v>
          </cell>
          <cell r="G1038">
            <v>6</v>
          </cell>
        </row>
        <row r="1039">
          <cell r="A1039" t="str">
            <v>BGD</v>
          </cell>
          <cell r="B1039" t="str">
            <v>Middle</v>
          </cell>
          <cell r="C1039" t="str">
            <v>2010 - 2022</v>
          </cell>
          <cell r="D1039" t="str">
            <v>reg</v>
          </cell>
          <cell r="E1039" t="str">
            <v>lfprod_s1_a6</v>
          </cell>
          <cell r="F1039">
            <v>0.45905184745788574</v>
          </cell>
          <cell r="G1039">
            <v>6</v>
          </cell>
        </row>
        <row r="1040">
          <cell r="A1040" t="str">
            <v>BGD</v>
          </cell>
          <cell r="B1040" t="str">
            <v>Middle</v>
          </cell>
          <cell r="C1040" t="str">
            <v>2010 - 2022</v>
          </cell>
          <cell r="D1040" t="str">
            <v>reg_gdp</v>
          </cell>
          <cell r="E1040" t="str">
            <v>lfls12_S0_A0</v>
          </cell>
          <cell r="F1040">
            <v>0.35131591558456421</v>
          </cell>
          <cell r="G1040">
            <v>6</v>
          </cell>
        </row>
        <row r="1041">
          <cell r="A1041" t="str">
            <v>BGD</v>
          </cell>
          <cell r="B1041" t="str">
            <v>Middle</v>
          </cell>
          <cell r="C1041" t="str">
            <v>2010 - 2022</v>
          </cell>
          <cell r="D1041" t="str">
            <v>reg_gdp</v>
          </cell>
          <cell r="E1041" t="str">
            <v>lfls1_S0_A0</v>
          </cell>
          <cell r="F1041">
            <v>0.34650024771690369</v>
          </cell>
          <cell r="G1041">
            <v>6</v>
          </cell>
        </row>
        <row r="1042">
          <cell r="A1042" t="str">
            <v>BGD</v>
          </cell>
          <cell r="B1042" t="str">
            <v>Middle</v>
          </cell>
          <cell r="C1042" t="str">
            <v>2010 - 2022</v>
          </cell>
          <cell r="D1042" t="str">
            <v>reg_gdp</v>
          </cell>
          <cell r="E1042" t="str">
            <v>lfls1_S0_a1</v>
          </cell>
          <cell r="F1042">
            <v>0.42949250340461731</v>
          </cell>
          <cell r="G1042">
            <v>6</v>
          </cell>
        </row>
        <row r="1043">
          <cell r="A1043" t="str">
            <v>BGD</v>
          </cell>
          <cell r="B1043" t="str">
            <v>Middle</v>
          </cell>
          <cell r="C1043" t="str">
            <v>2010 - 2022</v>
          </cell>
          <cell r="D1043" t="str">
            <v>reg_gdp</v>
          </cell>
          <cell r="E1043" t="str">
            <v>lfls1_S0_a2</v>
          </cell>
          <cell r="F1043">
            <v>1.0784544944763184</v>
          </cell>
          <cell r="G1043">
            <v>6</v>
          </cell>
        </row>
        <row r="1044">
          <cell r="A1044" t="str">
            <v>BGD</v>
          </cell>
          <cell r="B1044" t="str">
            <v>Middle</v>
          </cell>
          <cell r="C1044" t="str">
            <v>2010 - 2022</v>
          </cell>
          <cell r="D1044" t="str">
            <v>reg_gdp</v>
          </cell>
          <cell r="E1044" t="str">
            <v>lfls1_S0_a3</v>
          </cell>
          <cell r="F1044">
            <v>6.9974970817565918</v>
          </cell>
          <cell r="G1044">
            <v>6</v>
          </cell>
        </row>
        <row r="1045">
          <cell r="A1045" t="str">
            <v>BGD</v>
          </cell>
          <cell r="B1045" t="str">
            <v>Middle</v>
          </cell>
          <cell r="C1045" t="str">
            <v>2010 - 2022</v>
          </cell>
          <cell r="D1045" t="str">
            <v>reg_gdp</v>
          </cell>
          <cell r="E1045" t="str">
            <v>lfls1_S0_a4</v>
          </cell>
          <cell r="F1045">
            <v>-0.62019646167755127</v>
          </cell>
          <cell r="G1045">
            <v>6</v>
          </cell>
        </row>
        <row r="1046">
          <cell r="A1046" t="str">
            <v>BGD</v>
          </cell>
          <cell r="B1046" t="str">
            <v>Middle</v>
          </cell>
          <cell r="C1046" t="str">
            <v>2010 - 2022</v>
          </cell>
          <cell r="D1046" t="str">
            <v>reg_gdp</v>
          </cell>
          <cell r="E1046" t="str">
            <v>lfls1_S0_a5</v>
          </cell>
          <cell r="F1046">
            <v>0.12979482114315033</v>
          </cell>
          <cell r="G1046">
            <v>6</v>
          </cell>
        </row>
        <row r="1047">
          <cell r="A1047" t="str">
            <v>BGD</v>
          </cell>
          <cell r="B1047" t="str">
            <v>Middle</v>
          </cell>
          <cell r="C1047" t="str">
            <v>2010 - 2022</v>
          </cell>
          <cell r="D1047" t="str">
            <v>reg_gdp</v>
          </cell>
          <cell r="E1047" t="str">
            <v>lfls1_S0_a6</v>
          </cell>
          <cell r="F1047">
            <v>0.85781311988830566</v>
          </cell>
          <cell r="G1047">
            <v>6</v>
          </cell>
        </row>
        <row r="1048">
          <cell r="A1048" t="str">
            <v>BGD</v>
          </cell>
          <cell r="B1048" t="str">
            <v>Middle</v>
          </cell>
          <cell r="C1048" t="str">
            <v>2010 - 2022</v>
          </cell>
          <cell r="D1048" t="str">
            <v>reg_gdp</v>
          </cell>
          <cell r="E1048" t="str">
            <v>lfls1_s0_A0</v>
          </cell>
          <cell r="F1048">
            <v>0.26677244901657104</v>
          </cell>
          <cell r="G1048">
            <v>6</v>
          </cell>
        </row>
        <row r="1049">
          <cell r="A1049" t="str">
            <v>BGD</v>
          </cell>
          <cell r="B1049" t="str">
            <v>Middle</v>
          </cell>
          <cell r="C1049" t="str">
            <v>2010 - 2022</v>
          </cell>
          <cell r="D1049" t="str">
            <v>reg_gdp</v>
          </cell>
          <cell r="E1049" t="str">
            <v>lfls1_s0_a1</v>
          </cell>
          <cell r="F1049">
            <v>-2.5847146511077881</v>
          </cell>
          <cell r="G1049">
            <v>6</v>
          </cell>
        </row>
        <row r="1050">
          <cell r="A1050" t="str">
            <v>BGD</v>
          </cell>
          <cell r="B1050" t="str">
            <v>Middle</v>
          </cell>
          <cell r="C1050" t="str">
            <v>2010 - 2022</v>
          </cell>
          <cell r="D1050" t="str">
            <v>reg_gdp</v>
          </cell>
          <cell r="E1050" t="str">
            <v>lfls1_s0_a2</v>
          </cell>
          <cell r="F1050">
            <v>1.2360221147537231</v>
          </cell>
          <cell r="G1050">
            <v>6</v>
          </cell>
        </row>
        <row r="1051">
          <cell r="A1051" t="str">
            <v>BGD</v>
          </cell>
          <cell r="B1051" t="str">
            <v>Middle</v>
          </cell>
          <cell r="C1051" t="str">
            <v>2010 - 2022</v>
          </cell>
          <cell r="D1051" t="str">
            <v>reg_gdp</v>
          </cell>
          <cell r="E1051" t="str">
            <v>lfls1_s0_a3</v>
          </cell>
          <cell r="F1051">
            <v>6.1122570037841797</v>
          </cell>
          <cell r="G1051">
            <v>6</v>
          </cell>
        </row>
        <row r="1052">
          <cell r="A1052" t="str">
            <v>BGD</v>
          </cell>
          <cell r="B1052" t="str">
            <v>Middle</v>
          </cell>
          <cell r="C1052" t="str">
            <v>2010 - 2022</v>
          </cell>
          <cell r="D1052" t="str">
            <v>reg_gdp</v>
          </cell>
          <cell r="E1052" t="str">
            <v>lfls1_s0_a4</v>
          </cell>
          <cell r="F1052">
            <v>-0.6727675199508667</v>
          </cell>
          <cell r="G1052">
            <v>6</v>
          </cell>
        </row>
        <row r="1053">
          <cell r="A1053" t="str">
            <v>BGD</v>
          </cell>
          <cell r="B1053" t="str">
            <v>Middle</v>
          </cell>
          <cell r="C1053" t="str">
            <v>2010 - 2022</v>
          </cell>
          <cell r="D1053" t="str">
            <v>reg_gdp</v>
          </cell>
          <cell r="E1053" t="str">
            <v>lfls1_s0_a5</v>
          </cell>
          <cell r="F1053">
            <v>-0.86164003610610962</v>
          </cell>
          <cell r="G1053">
            <v>6</v>
          </cell>
        </row>
        <row r="1054">
          <cell r="A1054" t="str">
            <v>BGD</v>
          </cell>
          <cell r="B1054" t="str">
            <v>Middle</v>
          </cell>
          <cell r="C1054" t="str">
            <v>2010 - 2022</v>
          </cell>
          <cell r="D1054" t="str">
            <v>reg_gdp</v>
          </cell>
          <cell r="E1054" t="str">
            <v>lfls1_s0_a6</v>
          </cell>
          <cell r="F1054">
            <v>1.4710167646408081</v>
          </cell>
          <cell r="G1054">
            <v>6</v>
          </cell>
        </row>
        <row r="1055">
          <cell r="A1055" t="str">
            <v>BGD</v>
          </cell>
          <cell r="B1055" t="str">
            <v>Middle</v>
          </cell>
          <cell r="C1055" t="str">
            <v>2010 - 2022</v>
          </cell>
          <cell r="D1055" t="str">
            <v>reg_gdp</v>
          </cell>
          <cell r="E1055" t="str">
            <v>lfls1_s1_A0</v>
          </cell>
          <cell r="F1055">
            <v>0.70505416393280029</v>
          </cell>
          <cell r="G1055">
            <v>6</v>
          </cell>
        </row>
        <row r="1056">
          <cell r="A1056" t="str">
            <v>BGD</v>
          </cell>
          <cell r="B1056" t="str">
            <v>Middle</v>
          </cell>
          <cell r="C1056" t="str">
            <v>2010 - 2022</v>
          </cell>
          <cell r="D1056" t="str">
            <v>reg_gdp</v>
          </cell>
          <cell r="E1056" t="str">
            <v>lfls1_s1_a1</v>
          </cell>
          <cell r="F1056">
            <v>3.2255244255065918</v>
          </cell>
          <cell r="G1056">
            <v>6</v>
          </cell>
        </row>
        <row r="1057">
          <cell r="A1057" t="str">
            <v>BGD</v>
          </cell>
          <cell r="B1057" t="str">
            <v>Middle</v>
          </cell>
          <cell r="C1057" t="str">
            <v>2010 - 2022</v>
          </cell>
          <cell r="D1057" t="str">
            <v>reg_gdp</v>
          </cell>
          <cell r="E1057" t="str">
            <v>lfls1_s1_a2</v>
          </cell>
          <cell r="F1057">
            <v>-1.7101261615753174</v>
          </cell>
          <cell r="G1057">
            <v>6</v>
          </cell>
        </row>
        <row r="1058">
          <cell r="A1058" t="str">
            <v>BGD</v>
          </cell>
          <cell r="B1058" t="str">
            <v>Middle</v>
          </cell>
          <cell r="C1058" t="str">
            <v>2010 - 2022</v>
          </cell>
          <cell r="D1058" t="str">
            <v>reg_gdp</v>
          </cell>
          <cell r="E1058" t="str">
            <v>lfls1_s1_a3</v>
          </cell>
          <cell r="F1058">
            <v>20.527565002441406</v>
          </cell>
          <cell r="G1058">
            <v>6</v>
          </cell>
        </row>
        <row r="1059">
          <cell r="A1059" t="str">
            <v>BGD</v>
          </cell>
          <cell r="B1059" t="str">
            <v>Middle</v>
          </cell>
          <cell r="C1059" t="str">
            <v>2010 - 2022</v>
          </cell>
          <cell r="D1059" t="str">
            <v>reg_gdp</v>
          </cell>
          <cell r="E1059" t="str">
            <v>lfls1_s1_a4</v>
          </cell>
          <cell r="F1059">
            <v>1.3804391622543335</v>
          </cell>
          <cell r="G1059">
            <v>6</v>
          </cell>
        </row>
        <row r="1060">
          <cell r="A1060" t="str">
            <v>BGD</v>
          </cell>
          <cell r="B1060" t="str">
            <v>Middle</v>
          </cell>
          <cell r="C1060" t="str">
            <v>2010 - 2022</v>
          </cell>
          <cell r="D1060" t="str">
            <v>reg_gdp</v>
          </cell>
          <cell r="E1060" t="str">
            <v>lfls1_s1_a5</v>
          </cell>
          <cell r="F1060">
            <v>1.4208126068115234</v>
          </cell>
          <cell r="G1060">
            <v>6</v>
          </cell>
        </row>
        <row r="1061">
          <cell r="A1061" t="str">
            <v>BGD</v>
          </cell>
          <cell r="B1061" t="str">
            <v>Middle</v>
          </cell>
          <cell r="C1061" t="str">
            <v>2010 - 2022</v>
          </cell>
          <cell r="D1061" t="str">
            <v>reg_gdp</v>
          </cell>
          <cell r="E1061" t="str">
            <v>lfls1_s1_a6</v>
          </cell>
          <cell r="F1061">
            <v>-2.0003602504730225</v>
          </cell>
          <cell r="G1061">
            <v>6</v>
          </cell>
        </row>
        <row r="1062">
          <cell r="A1062" t="str">
            <v>BGD</v>
          </cell>
          <cell r="B1062" t="str">
            <v>Middle</v>
          </cell>
          <cell r="C1062" t="str">
            <v>2010 - 2022</v>
          </cell>
          <cell r="D1062" t="str">
            <v>reg_gdp</v>
          </cell>
          <cell r="E1062" t="str">
            <v>lfprod_s0_a1</v>
          </cell>
          <cell r="F1062">
            <v>-3.5847146511077881</v>
          </cell>
          <cell r="G1062">
            <v>6</v>
          </cell>
        </row>
        <row r="1063">
          <cell r="A1063" t="str">
            <v>BGD</v>
          </cell>
          <cell r="B1063" t="str">
            <v>Middle</v>
          </cell>
          <cell r="C1063" t="str">
            <v>2010 - 2022</v>
          </cell>
          <cell r="D1063" t="str">
            <v>reg_gdp</v>
          </cell>
          <cell r="E1063" t="str">
            <v>lfprod_s0_a2</v>
          </cell>
          <cell r="F1063">
            <v>0.23602207005023956</v>
          </cell>
          <cell r="G1063">
            <v>6</v>
          </cell>
        </row>
        <row r="1064">
          <cell r="A1064" t="str">
            <v>BGD</v>
          </cell>
          <cell r="B1064" t="str">
            <v>Middle</v>
          </cell>
          <cell r="C1064" t="str">
            <v>2010 - 2022</v>
          </cell>
          <cell r="D1064" t="str">
            <v>reg_gdp</v>
          </cell>
          <cell r="E1064" t="str">
            <v>lfprod_s0_a3</v>
          </cell>
          <cell r="F1064">
            <v>5.1122570037841797</v>
          </cell>
          <cell r="G1064">
            <v>6</v>
          </cell>
        </row>
        <row r="1065">
          <cell r="A1065" t="str">
            <v>BGD</v>
          </cell>
          <cell r="B1065" t="str">
            <v>Middle</v>
          </cell>
          <cell r="C1065" t="str">
            <v>2010 - 2022</v>
          </cell>
          <cell r="D1065" t="str">
            <v>reg_gdp</v>
          </cell>
          <cell r="E1065" t="str">
            <v>lfprod_s0_a4</v>
          </cell>
          <cell r="F1065">
            <v>-1.6727675199508667</v>
          </cell>
          <cell r="G1065">
            <v>6</v>
          </cell>
        </row>
        <row r="1066">
          <cell r="A1066" t="str">
            <v>BGD</v>
          </cell>
          <cell r="B1066" t="str">
            <v>Middle</v>
          </cell>
          <cell r="C1066" t="str">
            <v>2010 - 2022</v>
          </cell>
          <cell r="D1066" t="str">
            <v>reg_gdp</v>
          </cell>
          <cell r="E1066" t="str">
            <v>lfprod_s0_a5</v>
          </cell>
          <cell r="F1066">
            <v>-1.8616399765014648</v>
          </cell>
          <cell r="G1066">
            <v>6</v>
          </cell>
        </row>
        <row r="1067">
          <cell r="A1067" t="str">
            <v>BGD</v>
          </cell>
          <cell r="B1067" t="str">
            <v>Middle</v>
          </cell>
          <cell r="C1067" t="str">
            <v>2010 - 2022</v>
          </cell>
          <cell r="D1067" t="str">
            <v>reg_gdp</v>
          </cell>
          <cell r="E1067" t="str">
            <v>lfprod_s0_a6</v>
          </cell>
          <cell r="F1067">
            <v>0.47101670503616333</v>
          </cell>
          <cell r="G1067">
            <v>6</v>
          </cell>
        </row>
        <row r="1068">
          <cell r="A1068" t="str">
            <v>BGD</v>
          </cell>
          <cell r="B1068" t="str">
            <v>Middle</v>
          </cell>
          <cell r="C1068" t="str">
            <v>2010 - 2022</v>
          </cell>
          <cell r="D1068" t="str">
            <v>reg_gdp</v>
          </cell>
          <cell r="E1068" t="str">
            <v>lfprod_s1_a1</v>
          </cell>
          <cell r="F1068">
            <v>2.2255244255065918</v>
          </cell>
          <cell r="G1068">
            <v>6</v>
          </cell>
        </row>
        <row r="1069">
          <cell r="A1069" t="str">
            <v>BGD</v>
          </cell>
          <cell r="B1069" t="str">
            <v>Middle</v>
          </cell>
          <cell r="C1069" t="str">
            <v>2010 - 2022</v>
          </cell>
          <cell r="D1069" t="str">
            <v>reg_gdp</v>
          </cell>
          <cell r="E1069" t="str">
            <v>lfprod_s1_a2</v>
          </cell>
          <cell r="F1069">
            <v>-2.7101261615753174</v>
          </cell>
          <cell r="G1069">
            <v>6</v>
          </cell>
        </row>
        <row r="1070">
          <cell r="A1070" t="str">
            <v>BGD</v>
          </cell>
          <cell r="B1070" t="str">
            <v>Middle</v>
          </cell>
          <cell r="C1070" t="str">
            <v>2010 - 2022</v>
          </cell>
          <cell r="D1070" t="str">
            <v>reg_gdp</v>
          </cell>
          <cell r="E1070" t="str">
            <v>lfprod_s1_a3</v>
          </cell>
          <cell r="F1070">
            <v>19.527565002441406</v>
          </cell>
          <cell r="G1070">
            <v>6</v>
          </cell>
        </row>
        <row r="1071">
          <cell r="A1071" t="str">
            <v>BGD</v>
          </cell>
          <cell r="B1071" t="str">
            <v>Middle</v>
          </cell>
          <cell r="C1071" t="str">
            <v>2010 - 2022</v>
          </cell>
          <cell r="D1071" t="str">
            <v>reg_gdp</v>
          </cell>
          <cell r="E1071" t="str">
            <v>lfprod_s1_a4</v>
          </cell>
          <cell r="F1071">
            <v>0.38043910264968872</v>
          </cell>
          <cell r="G1071">
            <v>6</v>
          </cell>
        </row>
        <row r="1072">
          <cell r="A1072" t="str">
            <v>BGD</v>
          </cell>
          <cell r="B1072" t="str">
            <v>Middle</v>
          </cell>
          <cell r="C1072" t="str">
            <v>2010 - 2022</v>
          </cell>
          <cell r="D1072" t="str">
            <v>reg_gdp</v>
          </cell>
          <cell r="E1072" t="str">
            <v>lfprod_s1_a5</v>
          </cell>
          <cell r="F1072">
            <v>0.42081257700920105</v>
          </cell>
          <cell r="G1072">
            <v>6</v>
          </cell>
        </row>
        <row r="1073">
          <cell r="A1073" t="str">
            <v>BGD</v>
          </cell>
          <cell r="B1073" t="str">
            <v>Middle</v>
          </cell>
          <cell r="C1073" t="str">
            <v>2010 - 2022</v>
          </cell>
          <cell r="D1073" t="str">
            <v>reg_gdp</v>
          </cell>
          <cell r="E1073" t="str">
            <v>lfprod_s1_a6</v>
          </cell>
          <cell r="F1073">
            <v>-3.0003602504730225</v>
          </cell>
          <cell r="G1073">
            <v>6</v>
          </cell>
        </row>
        <row r="1074">
          <cell r="A1074" t="str">
            <v>BGD</v>
          </cell>
          <cell r="B1074" t="str">
            <v>Middle</v>
          </cell>
          <cell r="C1074" t="str">
            <v>2010 - 2022</v>
          </cell>
          <cell r="D1074" t="str">
            <v>reg_iter</v>
          </cell>
          <cell r="E1074" t="str">
            <v>lfls12_S0_A0</v>
          </cell>
          <cell r="F1074">
            <v>0.35131591558456421</v>
          </cell>
          <cell r="G1074">
            <v>6</v>
          </cell>
        </row>
        <row r="1075">
          <cell r="A1075" t="str">
            <v>BGD</v>
          </cell>
          <cell r="B1075" t="str">
            <v>Middle</v>
          </cell>
          <cell r="C1075" t="str">
            <v>2010 - 2022</v>
          </cell>
          <cell r="D1075" t="str">
            <v>reg_iter</v>
          </cell>
          <cell r="E1075" t="str">
            <v>lfls1_S0_A0</v>
          </cell>
          <cell r="F1075">
            <v>0.34650024771690369</v>
          </cell>
          <cell r="G1075">
            <v>6</v>
          </cell>
        </row>
        <row r="1076">
          <cell r="A1076" t="str">
            <v>BGD</v>
          </cell>
          <cell r="B1076" t="str">
            <v>Middle</v>
          </cell>
          <cell r="C1076" t="str">
            <v>2010 - 2022</v>
          </cell>
          <cell r="D1076" t="str">
            <v>reg_iter</v>
          </cell>
          <cell r="E1076" t="str">
            <v>lfls1_S0_a1</v>
          </cell>
          <cell r="F1076">
            <v>0.42949250340461731</v>
          </cell>
          <cell r="G1076">
            <v>6</v>
          </cell>
        </row>
        <row r="1077">
          <cell r="A1077" t="str">
            <v>BGD</v>
          </cell>
          <cell r="B1077" t="str">
            <v>Middle</v>
          </cell>
          <cell r="C1077" t="str">
            <v>2010 - 2022</v>
          </cell>
          <cell r="D1077" t="str">
            <v>reg_iter</v>
          </cell>
          <cell r="E1077" t="str">
            <v>lfls1_S0_a2</v>
          </cell>
          <cell r="F1077">
            <v>1.0784544944763184</v>
          </cell>
          <cell r="G1077">
            <v>6</v>
          </cell>
        </row>
        <row r="1078">
          <cell r="A1078" t="str">
            <v>BGD</v>
          </cell>
          <cell r="B1078" t="str">
            <v>Middle</v>
          </cell>
          <cell r="C1078" t="str">
            <v>2010 - 2022</v>
          </cell>
          <cell r="D1078" t="str">
            <v>reg_iter</v>
          </cell>
          <cell r="E1078" t="str">
            <v>lfls1_S0_a3</v>
          </cell>
          <cell r="F1078">
            <v>6.9974970817565918</v>
          </cell>
          <cell r="G1078">
            <v>6</v>
          </cell>
        </row>
        <row r="1079">
          <cell r="A1079" t="str">
            <v>BGD</v>
          </cell>
          <cell r="B1079" t="str">
            <v>Middle</v>
          </cell>
          <cell r="C1079" t="str">
            <v>2010 - 2022</v>
          </cell>
          <cell r="D1079" t="str">
            <v>reg_iter</v>
          </cell>
          <cell r="E1079" t="str">
            <v>lfls1_S0_a4</v>
          </cell>
          <cell r="F1079">
            <v>-0.62019646167755127</v>
          </cell>
          <cell r="G1079">
            <v>6</v>
          </cell>
        </row>
        <row r="1080">
          <cell r="A1080" t="str">
            <v>BGD</v>
          </cell>
          <cell r="B1080" t="str">
            <v>Middle</v>
          </cell>
          <cell r="C1080" t="str">
            <v>2010 - 2022</v>
          </cell>
          <cell r="D1080" t="str">
            <v>reg_iter</v>
          </cell>
          <cell r="E1080" t="str">
            <v>lfls1_S0_a5</v>
          </cell>
          <cell r="F1080">
            <v>0.12979482114315033</v>
          </cell>
          <cell r="G1080">
            <v>6</v>
          </cell>
        </row>
        <row r="1081">
          <cell r="A1081" t="str">
            <v>BGD</v>
          </cell>
          <cell r="B1081" t="str">
            <v>Middle</v>
          </cell>
          <cell r="C1081" t="str">
            <v>2010 - 2022</v>
          </cell>
          <cell r="D1081" t="str">
            <v>reg_iter</v>
          </cell>
          <cell r="E1081" t="str">
            <v>lfls1_S0_a6</v>
          </cell>
          <cell r="F1081">
            <v>0.85781311988830566</v>
          </cell>
          <cell r="G1081">
            <v>6</v>
          </cell>
        </row>
        <row r="1082">
          <cell r="A1082" t="str">
            <v>BGD</v>
          </cell>
          <cell r="B1082" t="str">
            <v>Middle</v>
          </cell>
          <cell r="C1082" t="str">
            <v>2010 - 2022</v>
          </cell>
          <cell r="D1082" t="str">
            <v>reg_iter</v>
          </cell>
          <cell r="E1082" t="str">
            <v>lfls1_s0_A0</v>
          </cell>
          <cell r="F1082">
            <v>0.26677244901657104</v>
          </cell>
          <cell r="G1082">
            <v>6</v>
          </cell>
        </row>
        <row r="1083">
          <cell r="A1083" t="str">
            <v>BGD</v>
          </cell>
          <cell r="B1083" t="str">
            <v>Middle</v>
          </cell>
          <cell r="C1083" t="str">
            <v>2010 - 2022</v>
          </cell>
          <cell r="D1083" t="str">
            <v>reg_iter</v>
          </cell>
          <cell r="E1083" t="str">
            <v>lfls1_s0_a1</v>
          </cell>
          <cell r="F1083">
            <v>-2.5847146511077881</v>
          </cell>
          <cell r="G1083">
            <v>6</v>
          </cell>
        </row>
        <row r="1084">
          <cell r="A1084" t="str">
            <v>BGD</v>
          </cell>
          <cell r="B1084" t="str">
            <v>Middle</v>
          </cell>
          <cell r="C1084" t="str">
            <v>2010 - 2022</v>
          </cell>
          <cell r="D1084" t="str">
            <v>reg_iter</v>
          </cell>
          <cell r="E1084" t="str">
            <v>lfls1_s0_a2</v>
          </cell>
          <cell r="F1084">
            <v>1.2360221147537231</v>
          </cell>
          <cell r="G1084">
            <v>6</v>
          </cell>
        </row>
        <row r="1085">
          <cell r="A1085" t="str">
            <v>BGD</v>
          </cell>
          <cell r="B1085" t="str">
            <v>Middle</v>
          </cell>
          <cell r="C1085" t="str">
            <v>2010 - 2022</v>
          </cell>
          <cell r="D1085" t="str">
            <v>reg_iter</v>
          </cell>
          <cell r="E1085" t="str">
            <v>lfls1_s0_a3</v>
          </cell>
          <cell r="F1085">
            <v>6.1122570037841797</v>
          </cell>
          <cell r="G1085">
            <v>6</v>
          </cell>
        </row>
        <row r="1086">
          <cell r="A1086" t="str">
            <v>BGD</v>
          </cell>
          <cell r="B1086" t="str">
            <v>Middle</v>
          </cell>
          <cell r="C1086" t="str">
            <v>2010 - 2022</v>
          </cell>
          <cell r="D1086" t="str">
            <v>reg_iter</v>
          </cell>
          <cell r="E1086" t="str">
            <v>lfls1_s0_a4</v>
          </cell>
          <cell r="F1086">
            <v>-0.6727675199508667</v>
          </cell>
          <cell r="G1086">
            <v>6</v>
          </cell>
        </row>
        <row r="1087">
          <cell r="A1087" t="str">
            <v>BGD</v>
          </cell>
          <cell r="B1087" t="str">
            <v>Middle</v>
          </cell>
          <cell r="C1087" t="str">
            <v>2010 - 2022</v>
          </cell>
          <cell r="D1087" t="str">
            <v>reg_iter</v>
          </cell>
          <cell r="E1087" t="str">
            <v>lfls1_s0_a5</v>
          </cell>
          <cell r="F1087">
            <v>-0.86164003610610962</v>
          </cell>
          <cell r="G1087">
            <v>6</v>
          </cell>
        </row>
        <row r="1088">
          <cell r="A1088" t="str">
            <v>BGD</v>
          </cell>
          <cell r="B1088" t="str">
            <v>Middle</v>
          </cell>
          <cell r="C1088" t="str">
            <v>2010 - 2022</v>
          </cell>
          <cell r="D1088" t="str">
            <v>reg_iter</v>
          </cell>
          <cell r="E1088" t="str">
            <v>lfls1_s0_a6</v>
          </cell>
          <cell r="F1088">
            <v>1.4710167646408081</v>
          </cell>
          <cell r="G1088">
            <v>6</v>
          </cell>
        </row>
        <row r="1089">
          <cell r="A1089" t="str">
            <v>BGD</v>
          </cell>
          <cell r="B1089" t="str">
            <v>Middle</v>
          </cell>
          <cell r="C1089" t="str">
            <v>2010 - 2022</v>
          </cell>
          <cell r="D1089" t="str">
            <v>reg_iter</v>
          </cell>
          <cell r="E1089" t="str">
            <v>lfls1_s1_A0</v>
          </cell>
          <cell r="F1089">
            <v>0.70505416393280029</v>
          </cell>
          <cell r="G1089">
            <v>6</v>
          </cell>
        </row>
        <row r="1090">
          <cell r="A1090" t="str">
            <v>BGD</v>
          </cell>
          <cell r="B1090" t="str">
            <v>Middle</v>
          </cell>
          <cell r="C1090" t="str">
            <v>2010 - 2022</v>
          </cell>
          <cell r="D1090" t="str">
            <v>reg_iter</v>
          </cell>
          <cell r="E1090" t="str">
            <v>lfls1_s1_a1</v>
          </cell>
          <cell r="F1090">
            <v>3.2255244255065918</v>
          </cell>
          <cell r="G1090">
            <v>6</v>
          </cell>
        </row>
        <row r="1091">
          <cell r="A1091" t="str">
            <v>BGD</v>
          </cell>
          <cell r="B1091" t="str">
            <v>Middle</v>
          </cell>
          <cell r="C1091" t="str">
            <v>2010 - 2022</v>
          </cell>
          <cell r="D1091" t="str">
            <v>reg_iter</v>
          </cell>
          <cell r="E1091" t="str">
            <v>lfls1_s1_a2</v>
          </cell>
          <cell r="F1091">
            <v>-1.7101261615753174</v>
          </cell>
          <cell r="G1091">
            <v>6</v>
          </cell>
        </row>
        <row r="1092">
          <cell r="A1092" t="str">
            <v>BGD</v>
          </cell>
          <cell r="B1092" t="str">
            <v>Middle</v>
          </cell>
          <cell r="C1092" t="str">
            <v>2010 - 2022</v>
          </cell>
          <cell r="D1092" t="str">
            <v>reg_iter</v>
          </cell>
          <cell r="E1092" t="str">
            <v>lfls1_s1_a3</v>
          </cell>
          <cell r="F1092">
            <v>20.527565002441406</v>
          </cell>
          <cell r="G1092">
            <v>6</v>
          </cell>
        </row>
        <row r="1093">
          <cell r="A1093" t="str">
            <v>BGD</v>
          </cell>
          <cell r="B1093" t="str">
            <v>Middle</v>
          </cell>
          <cell r="C1093" t="str">
            <v>2010 - 2022</v>
          </cell>
          <cell r="D1093" t="str">
            <v>reg_iter</v>
          </cell>
          <cell r="E1093" t="str">
            <v>lfls1_s1_a4</v>
          </cell>
          <cell r="F1093">
            <v>1.3804391622543335</v>
          </cell>
          <cell r="G1093">
            <v>6</v>
          </cell>
        </row>
        <row r="1094">
          <cell r="A1094" t="str">
            <v>BGD</v>
          </cell>
          <cell r="B1094" t="str">
            <v>Middle</v>
          </cell>
          <cell r="C1094" t="str">
            <v>2010 - 2022</v>
          </cell>
          <cell r="D1094" t="str">
            <v>reg_iter</v>
          </cell>
          <cell r="E1094" t="str">
            <v>lfls1_s1_a5</v>
          </cell>
          <cell r="F1094">
            <v>1.4208126068115234</v>
          </cell>
          <cell r="G1094">
            <v>6</v>
          </cell>
        </row>
        <row r="1095">
          <cell r="A1095" t="str">
            <v>BGD</v>
          </cell>
          <cell r="B1095" t="str">
            <v>Middle</v>
          </cell>
          <cell r="C1095" t="str">
            <v>2010 - 2022</v>
          </cell>
          <cell r="D1095" t="str">
            <v>reg_iter</v>
          </cell>
          <cell r="E1095" t="str">
            <v>lfls1_s1_a6</v>
          </cell>
          <cell r="F1095">
            <v>-2.0003602504730225</v>
          </cell>
          <cell r="G1095">
            <v>6</v>
          </cell>
        </row>
        <row r="1096">
          <cell r="A1096" t="str">
            <v>BGD</v>
          </cell>
          <cell r="B1096" t="str">
            <v>Middle</v>
          </cell>
          <cell r="C1096" t="str">
            <v>2010 - 2022</v>
          </cell>
          <cell r="D1096" t="str">
            <v>reg_iter</v>
          </cell>
          <cell r="E1096" t="str">
            <v>lfprod_s0_a1</v>
          </cell>
          <cell r="F1096">
            <v>-3.5847146511077881</v>
          </cell>
          <cell r="G1096">
            <v>6</v>
          </cell>
        </row>
        <row r="1097">
          <cell r="A1097" t="str">
            <v>BGD</v>
          </cell>
          <cell r="B1097" t="str">
            <v>Middle</v>
          </cell>
          <cell r="C1097" t="str">
            <v>2010 - 2022</v>
          </cell>
          <cell r="D1097" t="str">
            <v>reg_iter</v>
          </cell>
          <cell r="E1097" t="str">
            <v>lfprod_s0_a2</v>
          </cell>
          <cell r="F1097">
            <v>0.23602207005023956</v>
          </cell>
          <cell r="G1097">
            <v>6</v>
          </cell>
        </row>
        <row r="1098">
          <cell r="A1098" t="str">
            <v>BGD</v>
          </cell>
          <cell r="B1098" t="str">
            <v>Middle</v>
          </cell>
          <cell r="C1098" t="str">
            <v>2010 - 2022</v>
          </cell>
          <cell r="D1098" t="str">
            <v>reg_iter</v>
          </cell>
          <cell r="E1098" t="str">
            <v>lfprod_s0_a3</v>
          </cell>
          <cell r="F1098">
            <v>5.1122570037841797</v>
          </cell>
          <cell r="G1098">
            <v>6</v>
          </cell>
        </row>
        <row r="1099">
          <cell r="A1099" t="str">
            <v>BGD</v>
          </cell>
          <cell r="B1099" t="str">
            <v>Middle</v>
          </cell>
          <cell r="C1099" t="str">
            <v>2010 - 2022</v>
          </cell>
          <cell r="D1099" t="str">
            <v>reg_iter</v>
          </cell>
          <cell r="E1099" t="str">
            <v>lfprod_s0_a4</v>
          </cell>
          <cell r="F1099">
            <v>-1.6727675199508667</v>
          </cell>
          <cell r="G1099">
            <v>6</v>
          </cell>
        </row>
        <row r="1100">
          <cell r="A1100" t="str">
            <v>BGD</v>
          </cell>
          <cell r="B1100" t="str">
            <v>Middle</v>
          </cell>
          <cell r="C1100" t="str">
            <v>2010 - 2022</v>
          </cell>
          <cell r="D1100" t="str">
            <v>reg_iter</v>
          </cell>
          <cell r="E1100" t="str">
            <v>lfprod_s0_a5</v>
          </cell>
          <cell r="F1100">
            <v>-1.8616399765014648</v>
          </cell>
          <cell r="G1100">
            <v>6</v>
          </cell>
        </row>
        <row r="1101">
          <cell r="A1101" t="str">
            <v>BGD</v>
          </cell>
          <cell r="B1101" t="str">
            <v>Middle</v>
          </cell>
          <cell r="C1101" t="str">
            <v>2010 - 2022</v>
          </cell>
          <cell r="D1101" t="str">
            <v>reg_iter</v>
          </cell>
          <cell r="E1101" t="str">
            <v>lfprod_s0_a6</v>
          </cell>
          <cell r="F1101">
            <v>0.47101670503616333</v>
          </cell>
          <cell r="G1101">
            <v>6</v>
          </cell>
        </row>
        <row r="1102">
          <cell r="A1102" t="str">
            <v>BGD</v>
          </cell>
          <cell r="B1102" t="str">
            <v>Middle</v>
          </cell>
          <cell r="C1102" t="str">
            <v>2010 - 2022</v>
          </cell>
          <cell r="D1102" t="str">
            <v>reg_iter</v>
          </cell>
          <cell r="E1102" t="str">
            <v>lfprod_s1_a1</v>
          </cell>
          <cell r="F1102">
            <v>2.2255244255065918</v>
          </cell>
          <cell r="G1102">
            <v>6</v>
          </cell>
        </row>
        <row r="1103">
          <cell r="A1103" t="str">
            <v>BGD</v>
          </cell>
          <cell r="B1103" t="str">
            <v>Middle</v>
          </cell>
          <cell r="C1103" t="str">
            <v>2010 - 2022</v>
          </cell>
          <cell r="D1103" t="str">
            <v>reg_iter</v>
          </cell>
          <cell r="E1103" t="str">
            <v>lfprod_s1_a2</v>
          </cell>
          <cell r="F1103">
            <v>-2.7101261615753174</v>
          </cell>
          <cell r="G1103">
            <v>6</v>
          </cell>
        </row>
        <row r="1104">
          <cell r="A1104" t="str">
            <v>BGD</v>
          </cell>
          <cell r="B1104" t="str">
            <v>Middle</v>
          </cell>
          <cell r="C1104" t="str">
            <v>2010 - 2022</v>
          </cell>
          <cell r="D1104" t="str">
            <v>reg_iter</v>
          </cell>
          <cell r="E1104" t="str">
            <v>lfprod_s1_a3</v>
          </cell>
          <cell r="F1104">
            <v>19.527565002441406</v>
          </cell>
          <cell r="G1104">
            <v>6</v>
          </cell>
        </row>
        <row r="1105">
          <cell r="A1105" t="str">
            <v>BGD</v>
          </cell>
          <cell r="B1105" t="str">
            <v>Middle</v>
          </cell>
          <cell r="C1105" t="str">
            <v>2010 - 2022</v>
          </cell>
          <cell r="D1105" t="str">
            <v>reg_iter</v>
          </cell>
          <cell r="E1105" t="str">
            <v>lfprod_s1_a4</v>
          </cell>
          <cell r="F1105">
            <v>0.38043910264968872</v>
          </cell>
          <cell r="G1105">
            <v>6</v>
          </cell>
        </row>
        <row r="1106">
          <cell r="A1106" t="str">
            <v>BGD</v>
          </cell>
          <cell r="B1106" t="str">
            <v>Middle</v>
          </cell>
          <cell r="C1106" t="str">
            <v>2010 - 2022</v>
          </cell>
          <cell r="D1106" t="str">
            <v>reg_iter</v>
          </cell>
          <cell r="E1106" t="str">
            <v>lfprod_s1_a5</v>
          </cell>
          <cell r="F1106">
            <v>0.42081257700920105</v>
          </cell>
          <cell r="G1106">
            <v>6</v>
          </cell>
        </row>
        <row r="1107">
          <cell r="A1107" t="str">
            <v>BGD</v>
          </cell>
          <cell r="B1107" t="str">
            <v>Middle</v>
          </cell>
          <cell r="C1107" t="str">
            <v>2010 - 2022</v>
          </cell>
          <cell r="D1107" t="str">
            <v>reg_iter</v>
          </cell>
          <cell r="E1107" t="str">
            <v>lfprod_s1_a6</v>
          </cell>
          <cell r="F1107">
            <v>-3.0003602504730225</v>
          </cell>
          <cell r="G1107">
            <v>6</v>
          </cell>
        </row>
        <row r="1108">
          <cell r="A1108" t="str">
            <v>BGD</v>
          </cell>
          <cell r="B1108" t="str">
            <v>Short</v>
          </cell>
          <cell r="C1108" t="str">
            <v>2015 - 2022</v>
          </cell>
          <cell r="D1108" t="str">
            <v>avg</v>
          </cell>
          <cell r="E1108" t="str">
            <v>lfls12_S0_A0</v>
          </cell>
          <cell r="F1108">
            <v>0.30144312977790833</v>
          </cell>
          <cell r="G1108">
            <v>6</v>
          </cell>
        </row>
        <row r="1109">
          <cell r="A1109" t="str">
            <v>BGD</v>
          </cell>
          <cell r="B1109" t="str">
            <v>Short</v>
          </cell>
          <cell r="C1109" t="str">
            <v>2015 - 2022</v>
          </cell>
          <cell r="D1109" t="str">
            <v>avg</v>
          </cell>
          <cell r="E1109" t="str">
            <v>lfls1_S0_A0</v>
          </cell>
          <cell r="F1109">
            <v>0.29684466123580933</v>
          </cell>
          <cell r="G1109">
            <v>6</v>
          </cell>
        </row>
        <row r="1110">
          <cell r="A1110" t="str">
            <v>BGD</v>
          </cell>
          <cell r="B1110" t="str">
            <v>Short</v>
          </cell>
          <cell r="C1110" t="str">
            <v>2015 - 2022</v>
          </cell>
          <cell r="D1110" t="str">
            <v>avg</v>
          </cell>
          <cell r="E1110" t="str">
            <v>lfls1_S0_a1</v>
          </cell>
          <cell r="F1110">
            <v>0.28965547680854797</v>
          </cell>
          <cell r="G1110">
            <v>6</v>
          </cell>
        </row>
        <row r="1111">
          <cell r="A1111" t="str">
            <v>BGD</v>
          </cell>
          <cell r="B1111" t="str">
            <v>Short</v>
          </cell>
          <cell r="C1111" t="str">
            <v>2015 - 2022</v>
          </cell>
          <cell r="D1111" t="str">
            <v>avg</v>
          </cell>
          <cell r="E1111" t="str">
            <v>lfls1_S0_a2</v>
          </cell>
          <cell r="F1111">
            <v>1.1615478992462158</v>
          </cell>
          <cell r="G1111">
            <v>6</v>
          </cell>
        </row>
        <row r="1112">
          <cell r="A1112" t="str">
            <v>BGD</v>
          </cell>
          <cell r="B1112" t="str">
            <v>Short</v>
          </cell>
          <cell r="C1112" t="str">
            <v>2015 - 2022</v>
          </cell>
          <cell r="D1112" t="str">
            <v>avg</v>
          </cell>
          <cell r="E1112" t="str">
            <v>lfls1_S0_a3</v>
          </cell>
          <cell r="F1112">
            <v>-0.17779318988323212</v>
          </cell>
          <cell r="G1112">
            <v>6</v>
          </cell>
        </row>
        <row r="1113">
          <cell r="A1113" t="str">
            <v>BGD</v>
          </cell>
          <cell r="B1113" t="str">
            <v>Short</v>
          </cell>
          <cell r="C1113" t="str">
            <v>2015 - 2022</v>
          </cell>
          <cell r="D1113" t="str">
            <v>avg</v>
          </cell>
          <cell r="E1113" t="str">
            <v>lfls1_S0_a4</v>
          </cell>
          <cell r="F1113">
            <v>0.39119985699653625</v>
          </cell>
          <cell r="G1113">
            <v>6</v>
          </cell>
        </row>
        <row r="1114">
          <cell r="A1114" t="str">
            <v>BGD</v>
          </cell>
          <cell r="B1114" t="str">
            <v>Short</v>
          </cell>
          <cell r="C1114" t="str">
            <v>2015 - 2022</v>
          </cell>
          <cell r="D1114" t="str">
            <v>avg</v>
          </cell>
          <cell r="E1114" t="str">
            <v>lfls1_S0_a5</v>
          </cell>
          <cell r="F1114">
            <v>0.11176517605781555</v>
          </cell>
          <cell r="G1114">
            <v>6</v>
          </cell>
        </row>
        <row r="1115">
          <cell r="A1115" t="str">
            <v>BGD</v>
          </cell>
          <cell r="B1115" t="str">
            <v>Short</v>
          </cell>
          <cell r="C1115" t="str">
            <v>2015 - 2022</v>
          </cell>
          <cell r="D1115" t="str">
            <v>avg</v>
          </cell>
          <cell r="E1115" t="str">
            <v>lfls1_S0_a6</v>
          </cell>
          <cell r="F1115">
            <v>0.69021117687225342</v>
          </cell>
          <cell r="G1115">
            <v>6</v>
          </cell>
        </row>
        <row r="1116">
          <cell r="A1116" t="str">
            <v>BGD</v>
          </cell>
          <cell r="B1116" t="str">
            <v>Short</v>
          </cell>
          <cell r="C1116" t="str">
            <v>2015 - 2022</v>
          </cell>
          <cell r="D1116" t="str">
            <v>avg</v>
          </cell>
          <cell r="E1116" t="str">
            <v>lfls1_s0_A0</v>
          </cell>
          <cell r="F1116">
            <v>0.64339053630828857</v>
          </cell>
          <cell r="G1116">
            <v>6</v>
          </cell>
        </row>
        <row r="1117">
          <cell r="A1117" t="str">
            <v>BGD</v>
          </cell>
          <cell r="B1117" t="str">
            <v>Short</v>
          </cell>
          <cell r="C1117" t="str">
            <v>2015 - 2022</v>
          </cell>
          <cell r="D1117" t="str">
            <v>avg</v>
          </cell>
          <cell r="E1117" t="str">
            <v>lfls1_s0_a1</v>
          </cell>
          <cell r="F1117">
            <v>4.4583425521850586</v>
          </cell>
          <cell r="G1117">
            <v>6</v>
          </cell>
        </row>
        <row r="1118">
          <cell r="A1118" t="str">
            <v>BGD</v>
          </cell>
          <cell r="B1118" t="str">
            <v>Short</v>
          </cell>
          <cell r="C1118" t="str">
            <v>2015 - 2022</v>
          </cell>
          <cell r="D1118" t="str">
            <v>avg</v>
          </cell>
          <cell r="E1118" t="str">
            <v>lfls1_s0_a2</v>
          </cell>
          <cell r="F1118">
            <v>1.2461729049682617</v>
          </cell>
          <cell r="G1118">
            <v>6</v>
          </cell>
        </row>
        <row r="1119">
          <cell r="A1119" t="str">
            <v>BGD</v>
          </cell>
          <cell r="B1119" t="str">
            <v>Short</v>
          </cell>
          <cell r="C1119" t="str">
            <v>2015 - 2022</v>
          </cell>
          <cell r="D1119" t="str">
            <v>avg</v>
          </cell>
          <cell r="E1119" t="str">
            <v>lfls1_s0_a3</v>
          </cell>
          <cell r="F1119">
            <v>-0.27688288688659668</v>
          </cell>
          <cell r="G1119">
            <v>6</v>
          </cell>
        </row>
        <row r="1120">
          <cell r="A1120" t="str">
            <v>BGD</v>
          </cell>
          <cell r="B1120" t="str">
            <v>Short</v>
          </cell>
          <cell r="C1120" t="str">
            <v>2015 - 2022</v>
          </cell>
          <cell r="D1120" t="str">
            <v>avg</v>
          </cell>
          <cell r="E1120" t="str">
            <v>lfls1_s0_a4</v>
          </cell>
          <cell r="F1120">
            <v>0.36067149043083191</v>
          </cell>
          <cell r="G1120">
            <v>6</v>
          </cell>
        </row>
        <row r="1121">
          <cell r="A1121" t="str">
            <v>BGD</v>
          </cell>
          <cell r="B1121" t="str">
            <v>Short</v>
          </cell>
          <cell r="C1121" t="str">
            <v>2015 - 2022</v>
          </cell>
          <cell r="D1121" t="str">
            <v>avg</v>
          </cell>
          <cell r="E1121" t="str">
            <v>lfls1_s0_a5</v>
          </cell>
          <cell r="F1121">
            <v>0.23122511804103851</v>
          </cell>
          <cell r="G1121">
            <v>6</v>
          </cell>
        </row>
        <row r="1122">
          <cell r="A1122" t="str">
            <v>BGD</v>
          </cell>
          <cell r="B1122" t="str">
            <v>Short</v>
          </cell>
          <cell r="C1122" t="str">
            <v>2015 - 2022</v>
          </cell>
          <cell r="D1122" t="str">
            <v>avg</v>
          </cell>
          <cell r="E1122" t="str">
            <v>lfls1_s0_a6</v>
          </cell>
          <cell r="F1122">
            <v>0.57756233215332031</v>
          </cell>
          <cell r="G1122">
            <v>6</v>
          </cell>
        </row>
        <row r="1123">
          <cell r="A1123" t="str">
            <v>BGD</v>
          </cell>
          <cell r="B1123" t="str">
            <v>Short</v>
          </cell>
          <cell r="C1123" t="str">
            <v>2015 - 2022</v>
          </cell>
          <cell r="D1123" t="str">
            <v>avg</v>
          </cell>
          <cell r="E1123" t="str">
            <v>lfls1_s1_A0</v>
          </cell>
          <cell r="F1123">
            <v>-0.17981986701488495</v>
          </cell>
          <cell r="G1123">
            <v>6</v>
          </cell>
        </row>
        <row r="1124">
          <cell r="A1124" t="str">
            <v>BGD</v>
          </cell>
          <cell r="B1124" t="str">
            <v>Short</v>
          </cell>
          <cell r="C1124" t="str">
            <v>2015 - 2022</v>
          </cell>
          <cell r="D1124" t="str">
            <v>avg</v>
          </cell>
          <cell r="E1124" t="str">
            <v>lfls1_s1_a1</v>
          </cell>
          <cell r="F1124">
            <v>-0.84124022722244263</v>
          </cell>
          <cell r="G1124">
            <v>6</v>
          </cell>
        </row>
        <row r="1125">
          <cell r="A1125" t="str">
            <v>BGD</v>
          </cell>
          <cell r="B1125" t="str">
            <v>Short</v>
          </cell>
          <cell r="C1125" t="str">
            <v>2015 - 2022</v>
          </cell>
          <cell r="D1125" t="str">
            <v>avg</v>
          </cell>
          <cell r="E1125" t="str">
            <v>lfls1_s1_a2</v>
          </cell>
          <cell r="F1125">
            <v>0.13087838888168335</v>
          </cell>
          <cell r="G1125">
            <v>6</v>
          </cell>
        </row>
        <row r="1126">
          <cell r="A1126" t="str">
            <v>BGD</v>
          </cell>
          <cell r="B1126" t="str">
            <v>Short</v>
          </cell>
          <cell r="C1126" t="str">
            <v>2015 - 2022</v>
          </cell>
          <cell r="D1126" t="str">
            <v>avg</v>
          </cell>
          <cell r="E1126" t="str">
            <v>lfls1_s1_a3</v>
          </cell>
          <cell r="F1126">
            <v>1.5982093811035156</v>
          </cell>
          <cell r="G1126">
            <v>6</v>
          </cell>
        </row>
        <row r="1127">
          <cell r="A1127" t="str">
            <v>BGD</v>
          </cell>
          <cell r="B1127" t="str">
            <v>Short</v>
          </cell>
          <cell r="C1127" t="str">
            <v>2015 - 2022</v>
          </cell>
          <cell r="D1127" t="str">
            <v>avg</v>
          </cell>
          <cell r="E1127" t="str">
            <v>lfls1_s1_a4</v>
          </cell>
          <cell r="F1127">
            <v>1.321619987487793</v>
          </cell>
          <cell r="G1127">
            <v>6</v>
          </cell>
        </row>
        <row r="1128">
          <cell r="A1128" t="str">
            <v>BGD</v>
          </cell>
          <cell r="B1128" t="str">
            <v>Short</v>
          </cell>
          <cell r="C1128" t="str">
            <v>2015 - 2022</v>
          </cell>
          <cell r="D1128" t="str">
            <v>avg</v>
          </cell>
          <cell r="E1128" t="str">
            <v>lfls1_s1_a5</v>
          </cell>
          <cell r="F1128">
            <v>8.2127980887889862E-2</v>
          </cell>
          <cell r="G1128">
            <v>6</v>
          </cell>
        </row>
        <row r="1129">
          <cell r="A1129" t="str">
            <v>BGD</v>
          </cell>
          <cell r="B1129" t="str">
            <v>Short</v>
          </cell>
          <cell r="C1129" t="str">
            <v>2015 - 2022</v>
          </cell>
          <cell r="D1129" t="str">
            <v>avg</v>
          </cell>
          <cell r="E1129" t="str">
            <v>lfls1_s1_a6</v>
          </cell>
          <cell r="F1129">
            <v>1.1285845041275024</v>
          </cell>
          <cell r="G1129">
            <v>6</v>
          </cell>
        </row>
        <row r="1130">
          <cell r="A1130" t="str">
            <v>BGD</v>
          </cell>
          <cell r="B1130" t="str">
            <v>Short</v>
          </cell>
          <cell r="C1130" t="str">
            <v>2015 - 2022</v>
          </cell>
          <cell r="D1130" t="str">
            <v>avg</v>
          </cell>
          <cell r="E1130" t="str">
            <v>lfprod_s0_a1</v>
          </cell>
          <cell r="F1130">
            <v>2.9618732929229736</v>
          </cell>
          <cell r="G1130">
            <v>6</v>
          </cell>
        </row>
        <row r="1131">
          <cell r="A1131" t="str">
            <v>BGD</v>
          </cell>
          <cell r="B1131" t="str">
            <v>Short</v>
          </cell>
          <cell r="C1131" t="str">
            <v>2015 - 2022</v>
          </cell>
          <cell r="D1131" t="str">
            <v>avg</v>
          </cell>
          <cell r="E1131" t="str">
            <v>lfprod_s0_a2</v>
          </cell>
          <cell r="F1131">
            <v>0.29586702585220337</v>
          </cell>
          <cell r="G1131">
            <v>6</v>
          </cell>
        </row>
        <row r="1132">
          <cell r="A1132" t="str">
            <v>BGD</v>
          </cell>
          <cell r="B1132" t="str">
            <v>Short</v>
          </cell>
          <cell r="C1132" t="str">
            <v>2015 - 2022</v>
          </cell>
          <cell r="D1132" t="str">
            <v>avg</v>
          </cell>
          <cell r="E1132" t="str">
            <v>lfprod_s0_a3</v>
          </cell>
          <cell r="F1132">
            <v>-0.99732333421707153</v>
          </cell>
          <cell r="G1132">
            <v>6</v>
          </cell>
        </row>
        <row r="1133">
          <cell r="A1133" t="str">
            <v>BGD</v>
          </cell>
          <cell r="B1133" t="str">
            <v>Short</v>
          </cell>
          <cell r="C1133" t="str">
            <v>2015 - 2022</v>
          </cell>
          <cell r="D1133" t="str">
            <v>avg</v>
          </cell>
          <cell r="E1133" t="str">
            <v>lfprod_s0_a4</v>
          </cell>
          <cell r="F1133">
            <v>-0.71097475290298462</v>
          </cell>
          <cell r="G1133">
            <v>6</v>
          </cell>
        </row>
        <row r="1134">
          <cell r="A1134" t="str">
            <v>BGD</v>
          </cell>
          <cell r="B1134" t="str">
            <v>Short</v>
          </cell>
          <cell r="C1134" t="str">
            <v>2015 - 2022</v>
          </cell>
          <cell r="D1134" t="str">
            <v>avg</v>
          </cell>
          <cell r="E1134" t="str">
            <v>lfprod_s0_a5</v>
          </cell>
          <cell r="F1134">
            <v>-0.76323217153549194</v>
          </cell>
          <cell r="G1134">
            <v>6</v>
          </cell>
        </row>
        <row r="1135">
          <cell r="A1135" t="str">
            <v>BGD</v>
          </cell>
          <cell r="B1135" t="str">
            <v>Short</v>
          </cell>
          <cell r="C1135" t="str">
            <v>2015 - 2022</v>
          </cell>
          <cell r="D1135" t="str">
            <v>avg</v>
          </cell>
          <cell r="E1135" t="str">
            <v>lfprod_s0_a6</v>
          </cell>
          <cell r="F1135">
            <v>-0.3277985155582428</v>
          </cell>
          <cell r="G1135">
            <v>6</v>
          </cell>
        </row>
        <row r="1136">
          <cell r="A1136" t="str">
            <v>BGD</v>
          </cell>
          <cell r="B1136" t="str">
            <v>Short</v>
          </cell>
          <cell r="C1136" t="str">
            <v>2015 - 2022</v>
          </cell>
          <cell r="D1136" t="str">
            <v>avg</v>
          </cell>
          <cell r="E1136" t="str">
            <v>lfprod_s1_a1</v>
          </cell>
          <cell r="F1136">
            <v>-1.6635783910751343</v>
          </cell>
          <cell r="G1136">
            <v>6</v>
          </cell>
        </row>
        <row r="1137">
          <cell r="A1137" t="str">
            <v>BGD</v>
          </cell>
          <cell r="B1137" t="str">
            <v>Short</v>
          </cell>
          <cell r="C1137" t="str">
            <v>2015 - 2022</v>
          </cell>
          <cell r="D1137" t="str">
            <v>avg</v>
          </cell>
          <cell r="E1137" t="str">
            <v>lfprod_s1_a2</v>
          </cell>
          <cell r="F1137">
            <v>-0.67703384160995483</v>
          </cell>
          <cell r="G1137">
            <v>6</v>
          </cell>
        </row>
        <row r="1138">
          <cell r="A1138" t="str">
            <v>BGD</v>
          </cell>
          <cell r="B1138" t="str">
            <v>Short</v>
          </cell>
          <cell r="C1138" t="str">
            <v>2015 - 2022</v>
          </cell>
          <cell r="D1138" t="str">
            <v>avg</v>
          </cell>
          <cell r="E1138" t="str">
            <v>lfprod_s1_a3</v>
          </cell>
          <cell r="F1138">
            <v>0.58557289838790894</v>
          </cell>
          <cell r="G1138">
            <v>6</v>
          </cell>
        </row>
        <row r="1139">
          <cell r="A1139" t="str">
            <v>BGD</v>
          </cell>
          <cell r="B1139" t="str">
            <v>Short</v>
          </cell>
          <cell r="C1139" t="str">
            <v>2015 - 2022</v>
          </cell>
          <cell r="D1139" t="str">
            <v>avg</v>
          </cell>
          <cell r="E1139" t="str">
            <v>lfprod_s1_a4</v>
          </cell>
          <cell r="F1139">
            <v>0.27095824480056763</v>
          </cell>
          <cell r="G1139">
            <v>6</v>
          </cell>
        </row>
        <row r="1140">
          <cell r="A1140" t="str">
            <v>BGD</v>
          </cell>
          <cell r="B1140" t="str">
            <v>Short</v>
          </cell>
          <cell r="C1140" t="str">
            <v>2015 - 2022</v>
          </cell>
          <cell r="D1140" t="str">
            <v>avg</v>
          </cell>
          <cell r="E1140" t="str">
            <v>lfprod_s1_a5</v>
          </cell>
          <cell r="F1140">
            <v>-0.75138133764266968</v>
          </cell>
          <cell r="G1140">
            <v>6</v>
          </cell>
        </row>
        <row r="1141">
          <cell r="A1141" t="str">
            <v>BGD</v>
          </cell>
          <cell r="B1141" t="str">
            <v>Short</v>
          </cell>
          <cell r="C1141" t="str">
            <v>2015 - 2022</v>
          </cell>
          <cell r="D1141" t="str">
            <v>avg</v>
          </cell>
          <cell r="E1141" t="str">
            <v>lfprod_s1_a6</v>
          </cell>
          <cell r="F1141">
            <v>5.4443951696157455E-2</v>
          </cell>
          <cell r="G1141">
            <v>6</v>
          </cell>
        </row>
        <row r="1142">
          <cell r="A1142" t="str">
            <v>BGD</v>
          </cell>
          <cell r="B1142" t="str">
            <v>Short</v>
          </cell>
          <cell r="C1142" t="str">
            <v>2015 - 2022</v>
          </cell>
          <cell r="D1142" t="str">
            <v>avg_1_99</v>
          </cell>
          <cell r="E1142" t="str">
            <v>lfls12_S0_A0</v>
          </cell>
          <cell r="F1142">
            <v>0.31307488679885864</v>
          </cell>
          <cell r="G1142">
            <v>6</v>
          </cell>
        </row>
        <row r="1143">
          <cell r="A1143" t="str">
            <v>BGD</v>
          </cell>
          <cell r="B1143" t="str">
            <v>Short</v>
          </cell>
          <cell r="C1143" t="str">
            <v>2015 - 2022</v>
          </cell>
          <cell r="D1143" t="str">
            <v>avg_1_99</v>
          </cell>
          <cell r="E1143" t="str">
            <v>lfls1_S0_A0</v>
          </cell>
          <cell r="F1143">
            <v>0.32965004444122314</v>
          </cell>
          <cell r="G1143">
            <v>6</v>
          </cell>
        </row>
        <row r="1144">
          <cell r="A1144" t="str">
            <v>BGD</v>
          </cell>
          <cell r="B1144" t="str">
            <v>Short</v>
          </cell>
          <cell r="C1144" t="str">
            <v>2015 - 2022</v>
          </cell>
          <cell r="D1144" t="str">
            <v>avg_1_99</v>
          </cell>
          <cell r="E1144" t="str">
            <v>lfls1_S0_a1</v>
          </cell>
          <cell r="F1144">
            <v>0.45131835341453552</v>
          </cell>
          <cell r="G1144">
            <v>6</v>
          </cell>
        </row>
        <row r="1145">
          <cell r="A1145" t="str">
            <v>BGD</v>
          </cell>
          <cell r="B1145" t="str">
            <v>Short</v>
          </cell>
          <cell r="C1145" t="str">
            <v>2015 - 2022</v>
          </cell>
          <cell r="D1145" t="str">
            <v>avg_1_99</v>
          </cell>
          <cell r="E1145" t="str">
            <v>lfls1_S0_a2</v>
          </cell>
          <cell r="F1145">
            <v>0.16145037114620209</v>
          </cell>
          <cell r="G1145">
            <v>6</v>
          </cell>
        </row>
        <row r="1146">
          <cell r="A1146" t="str">
            <v>BGD</v>
          </cell>
          <cell r="B1146" t="str">
            <v>Short</v>
          </cell>
          <cell r="C1146" t="str">
            <v>2015 - 2022</v>
          </cell>
          <cell r="D1146" t="str">
            <v>avg_1_99</v>
          </cell>
          <cell r="E1146" t="str">
            <v>lfls1_S0_a3</v>
          </cell>
          <cell r="F1146">
            <v>-0.15169130265712738</v>
          </cell>
          <cell r="G1146">
            <v>6</v>
          </cell>
        </row>
        <row r="1147">
          <cell r="A1147" t="str">
            <v>BGD</v>
          </cell>
          <cell r="B1147" t="str">
            <v>Short</v>
          </cell>
          <cell r="C1147" t="str">
            <v>2015 - 2022</v>
          </cell>
          <cell r="D1147" t="str">
            <v>avg_1_99</v>
          </cell>
          <cell r="E1147" t="str">
            <v>lfls1_S0_a4</v>
          </cell>
          <cell r="F1147">
            <v>0.28939640522003174</v>
          </cell>
          <cell r="G1147">
            <v>6</v>
          </cell>
        </row>
        <row r="1148">
          <cell r="A1148" t="str">
            <v>BGD</v>
          </cell>
          <cell r="B1148" t="str">
            <v>Short</v>
          </cell>
          <cell r="C1148" t="str">
            <v>2015 - 2022</v>
          </cell>
          <cell r="D1148" t="str">
            <v>avg_1_99</v>
          </cell>
          <cell r="E1148" t="str">
            <v>lfls1_S0_a5</v>
          </cell>
          <cell r="F1148">
            <v>0.11601751297712326</v>
          </cell>
          <cell r="G1148">
            <v>6</v>
          </cell>
        </row>
        <row r="1149">
          <cell r="A1149" t="str">
            <v>BGD</v>
          </cell>
          <cell r="B1149" t="str">
            <v>Short</v>
          </cell>
          <cell r="C1149" t="str">
            <v>2015 - 2022</v>
          </cell>
          <cell r="D1149" t="str">
            <v>avg_1_99</v>
          </cell>
          <cell r="E1149" t="str">
            <v>lfls1_S0_a6</v>
          </cell>
          <cell r="F1149">
            <v>0.60046446323394775</v>
          </cell>
          <cell r="G1149">
            <v>6</v>
          </cell>
        </row>
        <row r="1150">
          <cell r="A1150" t="str">
            <v>BGD</v>
          </cell>
          <cell r="B1150" t="str">
            <v>Short</v>
          </cell>
          <cell r="C1150" t="str">
            <v>2015 - 2022</v>
          </cell>
          <cell r="D1150" t="str">
            <v>avg_1_99</v>
          </cell>
          <cell r="E1150" t="str">
            <v>lfls1_s0_A0</v>
          </cell>
          <cell r="F1150">
            <v>0.61345076560974121</v>
          </cell>
          <cell r="G1150">
            <v>6</v>
          </cell>
        </row>
        <row r="1151">
          <cell r="A1151" t="str">
            <v>BGD</v>
          </cell>
          <cell r="B1151" t="str">
            <v>Short</v>
          </cell>
          <cell r="C1151" t="str">
            <v>2015 - 2022</v>
          </cell>
          <cell r="D1151" t="str">
            <v>avg_1_99</v>
          </cell>
          <cell r="E1151" t="str">
            <v>lfls1_s0_a1</v>
          </cell>
          <cell r="F1151">
            <v>2.7213976383209229</v>
          </cell>
          <cell r="G1151">
            <v>6</v>
          </cell>
        </row>
        <row r="1152">
          <cell r="A1152" t="str">
            <v>BGD</v>
          </cell>
          <cell r="B1152" t="str">
            <v>Short</v>
          </cell>
          <cell r="C1152" t="str">
            <v>2015 - 2022</v>
          </cell>
          <cell r="D1152" t="str">
            <v>avg_1_99</v>
          </cell>
          <cell r="E1152" t="str">
            <v>lfls1_s0_a2</v>
          </cell>
          <cell r="F1152">
            <v>0.14960949122905731</v>
          </cell>
          <cell r="G1152">
            <v>6</v>
          </cell>
        </row>
        <row r="1153">
          <cell r="A1153" t="str">
            <v>BGD</v>
          </cell>
          <cell r="B1153" t="str">
            <v>Short</v>
          </cell>
          <cell r="C1153" t="str">
            <v>2015 - 2022</v>
          </cell>
          <cell r="D1153" t="str">
            <v>avg_1_99</v>
          </cell>
          <cell r="E1153" t="str">
            <v>lfls1_s0_a3</v>
          </cell>
          <cell r="F1153">
            <v>-0.15583361685276031</v>
          </cell>
          <cell r="G1153">
            <v>6</v>
          </cell>
        </row>
        <row r="1154">
          <cell r="A1154" t="str">
            <v>BGD</v>
          </cell>
          <cell r="B1154" t="str">
            <v>Short</v>
          </cell>
          <cell r="C1154" t="str">
            <v>2015 - 2022</v>
          </cell>
          <cell r="D1154" t="str">
            <v>avg_1_99</v>
          </cell>
          <cell r="E1154" t="str">
            <v>lfls1_s0_a4</v>
          </cell>
          <cell r="F1154">
            <v>0.29488569498062134</v>
          </cell>
          <cell r="G1154">
            <v>6</v>
          </cell>
        </row>
        <row r="1155">
          <cell r="A1155" t="str">
            <v>BGD</v>
          </cell>
          <cell r="B1155" t="str">
            <v>Short</v>
          </cell>
          <cell r="C1155" t="str">
            <v>2015 - 2022</v>
          </cell>
          <cell r="D1155" t="str">
            <v>avg_1_99</v>
          </cell>
          <cell r="E1155" t="str">
            <v>lfls1_s0_a5</v>
          </cell>
          <cell r="F1155">
            <v>-3.3732350915670395E-2</v>
          </cell>
          <cell r="G1155">
            <v>6</v>
          </cell>
        </row>
        <row r="1156">
          <cell r="A1156" t="str">
            <v>BGD</v>
          </cell>
          <cell r="B1156" t="str">
            <v>Short</v>
          </cell>
          <cell r="C1156" t="str">
            <v>2015 - 2022</v>
          </cell>
          <cell r="D1156" t="str">
            <v>avg_1_99</v>
          </cell>
          <cell r="E1156" t="str">
            <v>lfls1_s0_a6</v>
          </cell>
          <cell r="F1156">
            <v>0.68296808004379272</v>
          </cell>
          <cell r="G1156">
            <v>6</v>
          </cell>
        </row>
        <row r="1157">
          <cell r="A1157" t="str">
            <v>BGD</v>
          </cell>
          <cell r="B1157" t="str">
            <v>Short</v>
          </cell>
          <cell r="C1157" t="str">
            <v>2015 - 2022</v>
          </cell>
          <cell r="D1157" t="str">
            <v>avg_1_99</v>
          </cell>
          <cell r="E1157" t="str">
            <v>lfls1_s1_A0</v>
          </cell>
          <cell r="F1157">
            <v>-0.26652166247367859</v>
          </cell>
          <cell r="G1157">
            <v>6</v>
          </cell>
        </row>
        <row r="1158">
          <cell r="A1158" t="str">
            <v>BGD</v>
          </cell>
          <cell r="B1158" t="str">
            <v>Short</v>
          </cell>
          <cell r="C1158" t="str">
            <v>2015 - 2022</v>
          </cell>
          <cell r="D1158" t="str">
            <v>avg_1_99</v>
          </cell>
          <cell r="E1158" t="str">
            <v>lfls1_s1_a1</v>
          </cell>
          <cell r="F1158">
            <v>-1.1248633861541748</v>
          </cell>
          <cell r="G1158">
            <v>6</v>
          </cell>
        </row>
        <row r="1159">
          <cell r="A1159" t="str">
            <v>BGD</v>
          </cell>
          <cell r="B1159" t="str">
            <v>Short</v>
          </cell>
          <cell r="C1159" t="str">
            <v>2015 - 2022</v>
          </cell>
          <cell r="D1159" t="str">
            <v>avg_1_99</v>
          </cell>
          <cell r="E1159" t="str">
            <v>lfls1_s1_a2</v>
          </cell>
          <cell r="F1159">
            <v>0.13641639053821564</v>
          </cell>
          <cell r="G1159">
            <v>6</v>
          </cell>
        </row>
        <row r="1160">
          <cell r="A1160" t="str">
            <v>BGD</v>
          </cell>
          <cell r="B1160" t="str">
            <v>Short</v>
          </cell>
          <cell r="C1160" t="str">
            <v>2015 - 2022</v>
          </cell>
          <cell r="D1160" t="str">
            <v>avg_1_99</v>
          </cell>
          <cell r="E1160" t="str">
            <v>lfls1_s1_a3</v>
          </cell>
          <cell r="F1160">
            <v>0.70365333557128906</v>
          </cell>
          <cell r="G1160">
            <v>6</v>
          </cell>
        </row>
        <row r="1161">
          <cell r="A1161" t="str">
            <v>BGD</v>
          </cell>
          <cell r="B1161" t="str">
            <v>Short</v>
          </cell>
          <cell r="C1161" t="str">
            <v>2015 - 2022</v>
          </cell>
          <cell r="D1161" t="str">
            <v>avg_1_99</v>
          </cell>
          <cell r="E1161" t="str">
            <v>lfls1_s1_a4</v>
          </cell>
          <cell r="F1161">
            <v>0.29250118136405945</v>
          </cell>
          <cell r="G1161">
            <v>6</v>
          </cell>
        </row>
        <row r="1162">
          <cell r="A1162" t="str">
            <v>BGD</v>
          </cell>
          <cell r="B1162" t="str">
            <v>Short</v>
          </cell>
          <cell r="C1162" t="str">
            <v>2015 - 2022</v>
          </cell>
          <cell r="D1162" t="str">
            <v>avg_1_99</v>
          </cell>
          <cell r="E1162" t="str">
            <v>lfls1_s1_a5</v>
          </cell>
          <cell r="F1162">
            <v>0.20097702741622925</v>
          </cell>
          <cell r="G1162">
            <v>6</v>
          </cell>
        </row>
        <row r="1163">
          <cell r="A1163" t="str">
            <v>BGD</v>
          </cell>
          <cell r="B1163" t="str">
            <v>Short</v>
          </cell>
          <cell r="C1163" t="str">
            <v>2015 - 2022</v>
          </cell>
          <cell r="D1163" t="str">
            <v>avg_1_99</v>
          </cell>
          <cell r="E1163" t="str">
            <v>lfls1_s1_a6</v>
          </cell>
          <cell r="F1163">
            <v>1.2506506443023682</v>
          </cell>
          <cell r="G1163">
            <v>6</v>
          </cell>
        </row>
        <row r="1164">
          <cell r="A1164" t="str">
            <v>BGD</v>
          </cell>
          <cell r="B1164" t="str">
            <v>Short</v>
          </cell>
          <cell r="C1164" t="str">
            <v>2015 - 2022</v>
          </cell>
          <cell r="D1164" t="str">
            <v>avg_1_99</v>
          </cell>
          <cell r="E1164" t="str">
            <v>lfprod_s0_a1</v>
          </cell>
          <cell r="F1164">
            <v>1.5961661338806152</v>
          </cell>
          <cell r="G1164">
            <v>6</v>
          </cell>
        </row>
        <row r="1165">
          <cell r="A1165" t="str">
            <v>BGD</v>
          </cell>
          <cell r="B1165" t="str">
            <v>Short</v>
          </cell>
          <cell r="C1165" t="str">
            <v>2015 - 2022</v>
          </cell>
          <cell r="D1165" t="str">
            <v>avg_1_99</v>
          </cell>
          <cell r="E1165" t="str">
            <v>lfprod_s0_a2</v>
          </cell>
          <cell r="F1165">
            <v>-0.49700677394866943</v>
          </cell>
          <cell r="G1165">
            <v>6</v>
          </cell>
        </row>
        <row r="1166">
          <cell r="A1166" t="str">
            <v>BGD</v>
          </cell>
          <cell r="B1166" t="str">
            <v>Short</v>
          </cell>
          <cell r="C1166" t="str">
            <v>2015 - 2022</v>
          </cell>
          <cell r="D1166" t="str">
            <v>avg_1_99</v>
          </cell>
          <cell r="E1166" t="str">
            <v>lfprod_s0_a3</v>
          </cell>
          <cell r="F1166">
            <v>-0.78111934661865234</v>
          </cell>
          <cell r="G1166">
            <v>6</v>
          </cell>
        </row>
        <row r="1167">
          <cell r="A1167" t="str">
            <v>BGD</v>
          </cell>
          <cell r="B1167" t="str">
            <v>Short</v>
          </cell>
          <cell r="C1167" t="str">
            <v>2015 - 2022</v>
          </cell>
          <cell r="D1167" t="str">
            <v>avg_1_99</v>
          </cell>
          <cell r="E1167" t="str">
            <v>lfprod_s0_a4</v>
          </cell>
          <cell r="F1167">
            <v>-0.51311057806015015</v>
          </cell>
          <cell r="G1167">
            <v>6</v>
          </cell>
        </row>
        <row r="1168">
          <cell r="A1168" t="str">
            <v>BGD</v>
          </cell>
          <cell r="B1168" t="str">
            <v>Short</v>
          </cell>
          <cell r="C1168" t="str">
            <v>2015 - 2022</v>
          </cell>
          <cell r="D1168" t="str">
            <v>avg_1_99</v>
          </cell>
          <cell r="E1168" t="str">
            <v>lfprod_s0_a5</v>
          </cell>
          <cell r="F1168">
            <v>-0.99447900056838989</v>
          </cell>
          <cell r="G1168">
            <v>6</v>
          </cell>
        </row>
        <row r="1169">
          <cell r="A1169" t="str">
            <v>BGD</v>
          </cell>
          <cell r="B1169" t="str">
            <v>Short</v>
          </cell>
          <cell r="C1169" t="str">
            <v>2015 - 2022</v>
          </cell>
          <cell r="D1169" t="str">
            <v>avg_1_99</v>
          </cell>
          <cell r="E1169" t="str">
            <v>lfprod_s0_a6</v>
          </cell>
          <cell r="F1169">
            <v>-0.27968227863311768</v>
          </cell>
          <cell r="G1169">
            <v>6</v>
          </cell>
        </row>
        <row r="1170">
          <cell r="A1170" t="str">
            <v>BGD</v>
          </cell>
          <cell r="B1170" t="str">
            <v>Short</v>
          </cell>
          <cell r="C1170" t="str">
            <v>2015 - 2022</v>
          </cell>
          <cell r="D1170" t="str">
            <v>avg_1_99</v>
          </cell>
          <cell r="E1170" t="str">
            <v>lfprod_s1_a1</v>
          </cell>
          <cell r="F1170">
            <v>-1.9702798128128052</v>
          </cell>
          <cell r="G1170">
            <v>6</v>
          </cell>
        </row>
        <row r="1171">
          <cell r="A1171" t="str">
            <v>BGD</v>
          </cell>
          <cell r="B1171" t="str">
            <v>Short</v>
          </cell>
          <cell r="C1171" t="str">
            <v>2015 - 2022</v>
          </cell>
          <cell r="D1171" t="str">
            <v>avg_1_99</v>
          </cell>
          <cell r="E1171" t="str">
            <v>lfprod_s1_a2</v>
          </cell>
          <cell r="F1171">
            <v>-0.70446908473968506</v>
          </cell>
          <cell r="G1171">
            <v>6</v>
          </cell>
        </row>
        <row r="1172">
          <cell r="A1172" t="str">
            <v>BGD</v>
          </cell>
          <cell r="B1172" t="str">
            <v>Short</v>
          </cell>
          <cell r="C1172" t="str">
            <v>2015 - 2022</v>
          </cell>
          <cell r="D1172" t="str">
            <v>avg_1_99</v>
          </cell>
          <cell r="E1172" t="str">
            <v>lfprod_s1_a3</v>
          </cell>
          <cell r="F1172">
            <v>-0.26514190435409546</v>
          </cell>
          <cell r="G1172">
            <v>6</v>
          </cell>
        </row>
        <row r="1173">
          <cell r="A1173" t="str">
            <v>BGD</v>
          </cell>
          <cell r="B1173" t="str">
            <v>Short</v>
          </cell>
          <cell r="C1173" t="str">
            <v>2015 - 2022</v>
          </cell>
          <cell r="D1173" t="str">
            <v>avg_1_99</v>
          </cell>
          <cell r="E1173" t="str">
            <v>lfprod_s1_a4</v>
          </cell>
          <cell r="F1173">
            <v>-0.64944636821746826</v>
          </cell>
          <cell r="G1173">
            <v>6</v>
          </cell>
        </row>
        <row r="1174">
          <cell r="A1174" t="str">
            <v>BGD</v>
          </cell>
          <cell r="B1174" t="str">
            <v>Short</v>
          </cell>
          <cell r="C1174" t="str">
            <v>2015 - 2022</v>
          </cell>
          <cell r="D1174" t="str">
            <v>avg_1_99</v>
          </cell>
          <cell r="E1174" t="str">
            <v>lfprod_s1_a5</v>
          </cell>
          <cell r="F1174">
            <v>-0.71877515316009521</v>
          </cell>
          <cell r="G1174">
            <v>6</v>
          </cell>
        </row>
        <row r="1175">
          <cell r="A1175" t="str">
            <v>BGD</v>
          </cell>
          <cell r="B1175" t="str">
            <v>Short</v>
          </cell>
          <cell r="C1175" t="str">
            <v>2015 - 2022</v>
          </cell>
          <cell r="D1175" t="str">
            <v>avg_1_99</v>
          </cell>
          <cell r="E1175" t="str">
            <v>lfprod_s1_a6</v>
          </cell>
          <cell r="F1175">
            <v>0.22531037032604218</v>
          </cell>
          <cell r="G1175">
            <v>6</v>
          </cell>
        </row>
        <row r="1176">
          <cell r="A1176" t="str">
            <v>BGD</v>
          </cell>
          <cell r="B1176" t="str">
            <v>Short</v>
          </cell>
          <cell r="C1176" t="str">
            <v>2015 - 2022</v>
          </cell>
          <cell r="D1176" t="str">
            <v>avg_1_99_imp</v>
          </cell>
          <cell r="E1176" t="str">
            <v>lfls12_S0_A0</v>
          </cell>
          <cell r="F1176">
            <v>0.31307488679885864</v>
          </cell>
          <cell r="G1176">
            <v>6</v>
          </cell>
        </row>
        <row r="1177">
          <cell r="A1177" t="str">
            <v>BGD</v>
          </cell>
          <cell r="B1177" t="str">
            <v>Short</v>
          </cell>
          <cell r="C1177" t="str">
            <v>2015 - 2022</v>
          </cell>
          <cell r="D1177" t="str">
            <v>avg_1_99_imp</v>
          </cell>
          <cell r="E1177" t="str">
            <v>lfls1_S0_A0</v>
          </cell>
          <cell r="F1177">
            <v>0.32965004444122314</v>
          </cell>
          <cell r="G1177">
            <v>6</v>
          </cell>
        </row>
        <row r="1178">
          <cell r="A1178" t="str">
            <v>BGD</v>
          </cell>
          <cell r="B1178" t="str">
            <v>Short</v>
          </cell>
          <cell r="C1178" t="str">
            <v>2015 - 2022</v>
          </cell>
          <cell r="D1178" t="str">
            <v>avg_1_99_imp</v>
          </cell>
          <cell r="E1178" t="str">
            <v>lfls1_S0_a1</v>
          </cell>
          <cell r="F1178">
            <v>0.45131835341453552</v>
          </cell>
          <cell r="G1178">
            <v>6</v>
          </cell>
        </row>
        <row r="1179">
          <cell r="A1179" t="str">
            <v>BGD</v>
          </cell>
          <cell r="B1179" t="str">
            <v>Short</v>
          </cell>
          <cell r="C1179" t="str">
            <v>2015 - 2022</v>
          </cell>
          <cell r="D1179" t="str">
            <v>avg_1_99_imp</v>
          </cell>
          <cell r="E1179" t="str">
            <v>lfls1_S0_a2</v>
          </cell>
          <cell r="F1179">
            <v>0.16145037114620209</v>
          </cell>
          <cell r="G1179">
            <v>6</v>
          </cell>
        </row>
        <row r="1180">
          <cell r="A1180" t="str">
            <v>BGD</v>
          </cell>
          <cell r="B1180" t="str">
            <v>Short</v>
          </cell>
          <cell r="C1180" t="str">
            <v>2015 - 2022</v>
          </cell>
          <cell r="D1180" t="str">
            <v>avg_1_99_imp</v>
          </cell>
          <cell r="E1180" t="str">
            <v>lfls1_S0_a3</v>
          </cell>
          <cell r="F1180">
            <v>-0.15169130265712738</v>
          </cell>
          <cell r="G1180">
            <v>6</v>
          </cell>
        </row>
        <row r="1181">
          <cell r="A1181" t="str">
            <v>BGD</v>
          </cell>
          <cell r="B1181" t="str">
            <v>Short</v>
          </cell>
          <cell r="C1181" t="str">
            <v>2015 - 2022</v>
          </cell>
          <cell r="D1181" t="str">
            <v>avg_1_99_imp</v>
          </cell>
          <cell r="E1181" t="str">
            <v>lfls1_S0_a4</v>
          </cell>
          <cell r="F1181">
            <v>0.28939640522003174</v>
          </cell>
          <cell r="G1181">
            <v>6</v>
          </cell>
        </row>
        <row r="1182">
          <cell r="A1182" t="str">
            <v>BGD</v>
          </cell>
          <cell r="B1182" t="str">
            <v>Short</v>
          </cell>
          <cell r="C1182" t="str">
            <v>2015 - 2022</v>
          </cell>
          <cell r="D1182" t="str">
            <v>avg_1_99_imp</v>
          </cell>
          <cell r="E1182" t="str">
            <v>lfls1_S0_a5</v>
          </cell>
          <cell r="F1182">
            <v>0.11601751297712326</v>
          </cell>
          <cell r="G1182">
            <v>6</v>
          </cell>
        </row>
        <row r="1183">
          <cell r="A1183" t="str">
            <v>BGD</v>
          </cell>
          <cell r="B1183" t="str">
            <v>Short</v>
          </cell>
          <cell r="C1183" t="str">
            <v>2015 - 2022</v>
          </cell>
          <cell r="D1183" t="str">
            <v>avg_1_99_imp</v>
          </cell>
          <cell r="E1183" t="str">
            <v>lfls1_S0_a6</v>
          </cell>
          <cell r="F1183">
            <v>0.60046446323394775</v>
          </cell>
          <cell r="G1183">
            <v>6</v>
          </cell>
        </row>
        <row r="1184">
          <cell r="A1184" t="str">
            <v>BGD</v>
          </cell>
          <cell r="B1184" t="str">
            <v>Short</v>
          </cell>
          <cell r="C1184" t="str">
            <v>2015 - 2022</v>
          </cell>
          <cell r="D1184" t="str">
            <v>avg_1_99_imp</v>
          </cell>
          <cell r="E1184" t="str">
            <v>lfls1_s0_A0</v>
          </cell>
          <cell r="F1184">
            <v>0.61345076560974121</v>
          </cell>
          <cell r="G1184">
            <v>6</v>
          </cell>
        </row>
        <row r="1185">
          <cell r="A1185" t="str">
            <v>BGD</v>
          </cell>
          <cell r="B1185" t="str">
            <v>Short</v>
          </cell>
          <cell r="C1185" t="str">
            <v>2015 - 2022</v>
          </cell>
          <cell r="D1185" t="str">
            <v>avg_1_99_imp</v>
          </cell>
          <cell r="E1185" t="str">
            <v>lfls1_s0_a1</v>
          </cell>
          <cell r="F1185">
            <v>2.7213976383209229</v>
          </cell>
          <cell r="G1185">
            <v>6</v>
          </cell>
        </row>
        <row r="1186">
          <cell r="A1186" t="str">
            <v>BGD</v>
          </cell>
          <cell r="B1186" t="str">
            <v>Short</v>
          </cell>
          <cell r="C1186" t="str">
            <v>2015 - 2022</v>
          </cell>
          <cell r="D1186" t="str">
            <v>avg_1_99_imp</v>
          </cell>
          <cell r="E1186" t="str">
            <v>lfls1_s0_a2</v>
          </cell>
          <cell r="F1186">
            <v>0.14960949122905731</v>
          </cell>
          <cell r="G1186">
            <v>6</v>
          </cell>
        </row>
        <row r="1187">
          <cell r="A1187" t="str">
            <v>BGD</v>
          </cell>
          <cell r="B1187" t="str">
            <v>Short</v>
          </cell>
          <cell r="C1187" t="str">
            <v>2015 - 2022</v>
          </cell>
          <cell r="D1187" t="str">
            <v>avg_1_99_imp</v>
          </cell>
          <cell r="E1187" t="str">
            <v>lfls1_s0_a3</v>
          </cell>
          <cell r="F1187">
            <v>-0.15583361685276031</v>
          </cell>
          <cell r="G1187">
            <v>6</v>
          </cell>
        </row>
        <row r="1188">
          <cell r="A1188" t="str">
            <v>BGD</v>
          </cell>
          <cell r="B1188" t="str">
            <v>Short</v>
          </cell>
          <cell r="C1188" t="str">
            <v>2015 - 2022</v>
          </cell>
          <cell r="D1188" t="str">
            <v>avg_1_99_imp</v>
          </cell>
          <cell r="E1188" t="str">
            <v>lfls1_s0_a4</v>
          </cell>
          <cell r="F1188">
            <v>0.29488569498062134</v>
          </cell>
          <cell r="G1188">
            <v>6</v>
          </cell>
        </row>
        <row r="1189">
          <cell r="A1189" t="str">
            <v>BGD</v>
          </cell>
          <cell r="B1189" t="str">
            <v>Short</v>
          </cell>
          <cell r="C1189" t="str">
            <v>2015 - 2022</v>
          </cell>
          <cell r="D1189" t="str">
            <v>avg_1_99_imp</v>
          </cell>
          <cell r="E1189" t="str">
            <v>lfls1_s0_a5</v>
          </cell>
          <cell r="F1189">
            <v>-3.3732350915670395E-2</v>
          </cell>
          <cell r="G1189">
            <v>6</v>
          </cell>
        </row>
        <row r="1190">
          <cell r="A1190" t="str">
            <v>BGD</v>
          </cell>
          <cell r="B1190" t="str">
            <v>Short</v>
          </cell>
          <cell r="C1190" t="str">
            <v>2015 - 2022</v>
          </cell>
          <cell r="D1190" t="str">
            <v>avg_1_99_imp</v>
          </cell>
          <cell r="E1190" t="str">
            <v>lfls1_s0_a6</v>
          </cell>
          <cell r="F1190">
            <v>0.68296808004379272</v>
          </cell>
          <cell r="G1190">
            <v>6</v>
          </cell>
        </row>
        <row r="1191">
          <cell r="A1191" t="str">
            <v>BGD</v>
          </cell>
          <cell r="B1191" t="str">
            <v>Short</v>
          </cell>
          <cell r="C1191" t="str">
            <v>2015 - 2022</v>
          </cell>
          <cell r="D1191" t="str">
            <v>avg_1_99_imp</v>
          </cell>
          <cell r="E1191" t="str">
            <v>lfls1_s1_A0</v>
          </cell>
          <cell r="F1191">
            <v>-0.26652166247367859</v>
          </cell>
          <cell r="G1191">
            <v>6</v>
          </cell>
        </row>
        <row r="1192">
          <cell r="A1192" t="str">
            <v>BGD</v>
          </cell>
          <cell r="B1192" t="str">
            <v>Short</v>
          </cell>
          <cell r="C1192" t="str">
            <v>2015 - 2022</v>
          </cell>
          <cell r="D1192" t="str">
            <v>avg_1_99_imp</v>
          </cell>
          <cell r="E1192" t="str">
            <v>lfls1_s1_a1</v>
          </cell>
          <cell r="F1192">
            <v>-1.1248633861541748</v>
          </cell>
          <cell r="G1192">
            <v>6</v>
          </cell>
        </row>
        <row r="1193">
          <cell r="A1193" t="str">
            <v>BGD</v>
          </cell>
          <cell r="B1193" t="str">
            <v>Short</v>
          </cell>
          <cell r="C1193" t="str">
            <v>2015 - 2022</v>
          </cell>
          <cell r="D1193" t="str">
            <v>avg_1_99_imp</v>
          </cell>
          <cell r="E1193" t="str">
            <v>lfls1_s1_a2</v>
          </cell>
          <cell r="F1193">
            <v>0.13641639053821564</v>
          </cell>
          <cell r="G1193">
            <v>6</v>
          </cell>
        </row>
        <row r="1194">
          <cell r="A1194" t="str">
            <v>BGD</v>
          </cell>
          <cell r="B1194" t="str">
            <v>Short</v>
          </cell>
          <cell r="C1194" t="str">
            <v>2015 - 2022</v>
          </cell>
          <cell r="D1194" t="str">
            <v>avg_1_99_imp</v>
          </cell>
          <cell r="E1194" t="str">
            <v>lfls1_s1_a3</v>
          </cell>
          <cell r="F1194">
            <v>0.70365333557128906</v>
          </cell>
          <cell r="G1194">
            <v>6</v>
          </cell>
        </row>
        <row r="1195">
          <cell r="A1195" t="str">
            <v>BGD</v>
          </cell>
          <cell r="B1195" t="str">
            <v>Short</v>
          </cell>
          <cell r="C1195" t="str">
            <v>2015 - 2022</v>
          </cell>
          <cell r="D1195" t="str">
            <v>avg_1_99_imp</v>
          </cell>
          <cell r="E1195" t="str">
            <v>lfls1_s1_a4</v>
          </cell>
          <cell r="F1195">
            <v>0.29250118136405945</v>
          </cell>
          <cell r="G1195">
            <v>6</v>
          </cell>
        </row>
        <row r="1196">
          <cell r="A1196" t="str">
            <v>BGD</v>
          </cell>
          <cell r="B1196" t="str">
            <v>Short</v>
          </cell>
          <cell r="C1196" t="str">
            <v>2015 - 2022</v>
          </cell>
          <cell r="D1196" t="str">
            <v>avg_1_99_imp</v>
          </cell>
          <cell r="E1196" t="str">
            <v>lfls1_s1_a5</v>
          </cell>
          <cell r="F1196">
            <v>0.20097702741622925</v>
          </cell>
          <cell r="G1196">
            <v>6</v>
          </cell>
        </row>
        <row r="1197">
          <cell r="A1197" t="str">
            <v>BGD</v>
          </cell>
          <cell r="B1197" t="str">
            <v>Short</v>
          </cell>
          <cell r="C1197" t="str">
            <v>2015 - 2022</v>
          </cell>
          <cell r="D1197" t="str">
            <v>avg_1_99_imp</v>
          </cell>
          <cell r="E1197" t="str">
            <v>lfls1_s1_a6</v>
          </cell>
          <cell r="F1197">
            <v>1.2506506443023682</v>
          </cell>
          <cell r="G1197">
            <v>6</v>
          </cell>
        </row>
        <row r="1198">
          <cell r="A1198" t="str">
            <v>BGD</v>
          </cell>
          <cell r="B1198" t="str">
            <v>Short</v>
          </cell>
          <cell r="C1198" t="str">
            <v>2015 - 2022</v>
          </cell>
          <cell r="D1198" t="str">
            <v>avg_1_99_imp</v>
          </cell>
          <cell r="E1198" t="str">
            <v>lfprod_s0_a1</v>
          </cell>
          <cell r="F1198">
            <v>1.5961661338806152</v>
          </cell>
          <cell r="G1198">
            <v>6</v>
          </cell>
        </row>
        <row r="1199">
          <cell r="A1199" t="str">
            <v>BGD</v>
          </cell>
          <cell r="B1199" t="str">
            <v>Short</v>
          </cell>
          <cell r="C1199" t="str">
            <v>2015 - 2022</v>
          </cell>
          <cell r="D1199" t="str">
            <v>avg_1_99_imp</v>
          </cell>
          <cell r="E1199" t="str">
            <v>lfprod_s0_a2</v>
          </cell>
          <cell r="F1199">
            <v>-0.49700677394866943</v>
          </cell>
          <cell r="G1199">
            <v>6</v>
          </cell>
        </row>
        <row r="1200">
          <cell r="A1200" t="str">
            <v>BGD</v>
          </cell>
          <cell r="B1200" t="str">
            <v>Short</v>
          </cell>
          <cell r="C1200" t="str">
            <v>2015 - 2022</v>
          </cell>
          <cell r="D1200" t="str">
            <v>avg_1_99_imp</v>
          </cell>
          <cell r="E1200" t="str">
            <v>lfprod_s0_a3</v>
          </cell>
          <cell r="F1200">
            <v>-0.78111934661865234</v>
          </cell>
          <cell r="G1200">
            <v>6</v>
          </cell>
        </row>
        <row r="1201">
          <cell r="A1201" t="str">
            <v>BGD</v>
          </cell>
          <cell r="B1201" t="str">
            <v>Short</v>
          </cell>
          <cell r="C1201" t="str">
            <v>2015 - 2022</v>
          </cell>
          <cell r="D1201" t="str">
            <v>avg_1_99_imp</v>
          </cell>
          <cell r="E1201" t="str">
            <v>lfprod_s0_a4</v>
          </cell>
          <cell r="F1201">
            <v>-0.51311057806015015</v>
          </cell>
          <cell r="G1201">
            <v>6</v>
          </cell>
        </row>
        <row r="1202">
          <cell r="A1202" t="str">
            <v>BGD</v>
          </cell>
          <cell r="B1202" t="str">
            <v>Short</v>
          </cell>
          <cell r="C1202" t="str">
            <v>2015 - 2022</v>
          </cell>
          <cell r="D1202" t="str">
            <v>avg_1_99_imp</v>
          </cell>
          <cell r="E1202" t="str">
            <v>lfprod_s0_a5</v>
          </cell>
          <cell r="F1202">
            <v>-0.99447900056838989</v>
          </cell>
          <cell r="G1202">
            <v>6</v>
          </cell>
        </row>
        <row r="1203">
          <cell r="A1203" t="str">
            <v>BGD</v>
          </cell>
          <cell r="B1203" t="str">
            <v>Short</v>
          </cell>
          <cell r="C1203" t="str">
            <v>2015 - 2022</v>
          </cell>
          <cell r="D1203" t="str">
            <v>avg_1_99_imp</v>
          </cell>
          <cell r="E1203" t="str">
            <v>lfprod_s0_a6</v>
          </cell>
          <cell r="F1203">
            <v>-0.27968227863311768</v>
          </cell>
          <cell r="G1203">
            <v>6</v>
          </cell>
        </row>
        <row r="1204">
          <cell r="A1204" t="str">
            <v>BGD</v>
          </cell>
          <cell r="B1204" t="str">
            <v>Short</v>
          </cell>
          <cell r="C1204" t="str">
            <v>2015 - 2022</v>
          </cell>
          <cell r="D1204" t="str">
            <v>avg_1_99_imp</v>
          </cell>
          <cell r="E1204" t="str">
            <v>lfprod_s1_a1</v>
          </cell>
          <cell r="F1204">
            <v>-1.9702798128128052</v>
          </cell>
          <cell r="G1204">
            <v>6</v>
          </cell>
        </row>
        <row r="1205">
          <cell r="A1205" t="str">
            <v>BGD</v>
          </cell>
          <cell r="B1205" t="str">
            <v>Short</v>
          </cell>
          <cell r="C1205" t="str">
            <v>2015 - 2022</v>
          </cell>
          <cell r="D1205" t="str">
            <v>avg_1_99_imp</v>
          </cell>
          <cell r="E1205" t="str">
            <v>lfprod_s1_a2</v>
          </cell>
          <cell r="F1205">
            <v>-0.70446908473968506</v>
          </cell>
          <cell r="G1205">
            <v>6</v>
          </cell>
        </row>
        <row r="1206">
          <cell r="A1206" t="str">
            <v>BGD</v>
          </cell>
          <cell r="B1206" t="str">
            <v>Short</v>
          </cell>
          <cell r="C1206" t="str">
            <v>2015 - 2022</v>
          </cell>
          <cell r="D1206" t="str">
            <v>avg_1_99_imp</v>
          </cell>
          <cell r="E1206" t="str">
            <v>lfprod_s1_a3</v>
          </cell>
          <cell r="F1206">
            <v>-0.26514190435409546</v>
          </cell>
          <cell r="G1206">
            <v>6</v>
          </cell>
        </row>
        <row r="1207">
          <cell r="A1207" t="str">
            <v>BGD</v>
          </cell>
          <cell r="B1207" t="str">
            <v>Short</v>
          </cell>
          <cell r="C1207" t="str">
            <v>2015 - 2022</v>
          </cell>
          <cell r="D1207" t="str">
            <v>avg_1_99_imp</v>
          </cell>
          <cell r="E1207" t="str">
            <v>lfprod_s1_a4</v>
          </cell>
          <cell r="F1207">
            <v>-0.64944636821746826</v>
          </cell>
          <cell r="G1207">
            <v>6</v>
          </cell>
        </row>
        <row r="1208">
          <cell r="A1208" t="str">
            <v>BGD</v>
          </cell>
          <cell r="B1208" t="str">
            <v>Short</v>
          </cell>
          <cell r="C1208" t="str">
            <v>2015 - 2022</v>
          </cell>
          <cell r="D1208" t="str">
            <v>avg_1_99_imp</v>
          </cell>
          <cell r="E1208" t="str">
            <v>lfprod_s1_a5</v>
          </cell>
          <cell r="F1208">
            <v>-0.71877515316009521</v>
          </cell>
          <cell r="G1208">
            <v>6</v>
          </cell>
        </row>
        <row r="1209">
          <cell r="A1209" t="str">
            <v>BGD</v>
          </cell>
          <cell r="B1209" t="str">
            <v>Short</v>
          </cell>
          <cell r="C1209" t="str">
            <v>2015 - 2022</v>
          </cell>
          <cell r="D1209" t="str">
            <v>avg_1_99_imp</v>
          </cell>
          <cell r="E1209" t="str">
            <v>lfprod_s1_a6</v>
          </cell>
          <cell r="F1209">
            <v>0.22531037032604218</v>
          </cell>
          <cell r="G1209">
            <v>6</v>
          </cell>
        </row>
        <row r="1210">
          <cell r="A1210" t="str">
            <v>BGD</v>
          </cell>
          <cell r="B1210" t="str">
            <v>Short</v>
          </cell>
          <cell r="C1210" t="str">
            <v>2015 - 2022</v>
          </cell>
          <cell r="D1210" t="str">
            <v>med_reg</v>
          </cell>
          <cell r="E1210" t="str">
            <v>lfls12_S0_A0</v>
          </cell>
          <cell r="F1210">
            <v>0.36854246258735657</v>
          </cell>
          <cell r="G1210">
            <v>6</v>
          </cell>
        </row>
        <row r="1211">
          <cell r="A1211" t="str">
            <v>BGD</v>
          </cell>
          <cell r="B1211" t="str">
            <v>Short</v>
          </cell>
          <cell r="C1211" t="str">
            <v>2015 - 2022</v>
          </cell>
          <cell r="D1211" t="str">
            <v>med_reg</v>
          </cell>
          <cell r="E1211" t="str">
            <v>lfls1_S0_A0</v>
          </cell>
          <cell r="F1211">
            <v>0.37110373377799988</v>
          </cell>
          <cell r="G1211">
            <v>6</v>
          </cell>
        </row>
        <row r="1212">
          <cell r="A1212" t="str">
            <v>BGD</v>
          </cell>
          <cell r="B1212" t="str">
            <v>Short</v>
          </cell>
          <cell r="C1212" t="str">
            <v>2015 - 2022</v>
          </cell>
          <cell r="D1212" t="str">
            <v>med_reg</v>
          </cell>
          <cell r="E1212" t="str">
            <v>lfls1_S0_a1</v>
          </cell>
          <cell r="F1212">
            <v>0.83137369155883789</v>
          </cell>
          <cell r="G1212">
            <v>6</v>
          </cell>
        </row>
        <row r="1213">
          <cell r="A1213" t="str">
            <v>BGD</v>
          </cell>
          <cell r="B1213" t="str">
            <v>Short</v>
          </cell>
          <cell r="C1213" t="str">
            <v>2015 - 2022</v>
          </cell>
          <cell r="D1213" t="str">
            <v>med_reg</v>
          </cell>
          <cell r="E1213" t="str">
            <v>lfls1_S0_a2</v>
          </cell>
          <cell r="F1213">
            <v>0.19037431478500366</v>
          </cell>
          <cell r="G1213">
            <v>6</v>
          </cell>
        </row>
        <row r="1214">
          <cell r="A1214" t="str">
            <v>BGD</v>
          </cell>
          <cell r="B1214" t="str">
            <v>Short</v>
          </cell>
          <cell r="C1214" t="str">
            <v>2015 - 2022</v>
          </cell>
          <cell r="D1214" t="str">
            <v>med_reg</v>
          </cell>
          <cell r="E1214" t="str">
            <v>lfls1_S0_a3</v>
          </cell>
          <cell r="F1214">
            <v>-0.13618260622024536</v>
          </cell>
          <cell r="G1214">
            <v>6</v>
          </cell>
        </row>
        <row r="1215">
          <cell r="A1215" t="str">
            <v>BGD</v>
          </cell>
          <cell r="B1215" t="str">
            <v>Short</v>
          </cell>
          <cell r="C1215" t="str">
            <v>2015 - 2022</v>
          </cell>
          <cell r="D1215" t="str">
            <v>med_reg</v>
          </cell>
          <cell r="E1215" t="str">
            <v>lfls1_S0_a4</v>
          </cell>
          <cell r="F1215">
            <v>0.32346409559249878</v>
          </cell>
          <cell r="G1215">
            <v>6</v>
          </cell>
        </row>
        <row r="1216">
          <cell r="A1216" t="str">
            <v>BGD</v>
          </cell>
          <cell r="B1216" t="str">
            <v>Short</v>
          </cell>
          <cell r="C1216" t="str">
            <v>2015 - 2022</v>
          </cell>
          <cell r="D1216" t="str">
            <v>med_reg</v>
          </cell>
          <cell r="E1216" t="str">
            <v>lfls1_S0_a5</v>
          </cell>
          <cell r="F1216">
            <v>0.85480952262878418</v>
          </cell>
          <cell r="G1216">
            <v>6</v>
          </cell>
        </row>
        <row r="1217">
          <cell r="A1217" t="str">
            <v>BGD</v>
          </cell>
          <cell r="B1217" t="str">
            <v>Short</v>
          </cell>
          <cell r="C1217" t="str">
            <v>2015 - 2022</v>
          </cell>
          <cell r="D1217" t="str">
            <v>med_reg</v>
          </cell>
          <cell r="E1217" t="str">
            <v>lfls1_S0_a6</v>
          </cell>
          <cell r="F1217">
            <v>0.62428683042526245</v>
          </cell>
          <cell r="G1217">
            <v>6</v>
          </cell>
        </row>
        <row r="1218">
          <cell r="A1218" t="str">
            <v>BGD</v>
          </cell>
          <cell r="B1218" t="str">
            <v>Short</v>
          </cell>
          <cell r="C1218" t="str">
            <v>2015 - 2022</v>
          </cell>
          <cell r="D1218" t="str">
            <v>med_reg</v>
          </cell>
          <cell r="E1218" t="str">
            <v>lfls1_s0_A0</v>
          </cell>
          <cell r="F1218">
            <v>0.74236464500427246</v>
          </cell>
          <cell r="G1218">
            <v>6</v>
          </cell>
        </row>
        <row r="1219">
          <cell r="A1219" t="str">
            <v>BGD</v>
          </cell>
          <cell r="B1219" t="str">
            <v>Short</v>
          </cell>
          <cell r="C1219" t="str">
            <v>2015 - 2022</v>
          </cell>
          <cell r="D1219" t="str">
            <v>med_reg</v>
          </cell>
          <cell r="E1219" t="str">
            <v>lfls1_s0_a1</v>
          </cell>
          <cell r="F1219">
            <v>5.5386190414428711</v>
          </cell>
          <cell r="G1219">
            <v>6</v>
          </cell>
        </row>
        <row r="1220">
          <cell r="A1220" t="str">
            <v>BGD</v>
          </cell>
          <cell r="B1220" t="str">
            <v>Short</v>
          </cell>
          <cell r="C1220" t="str">
            <v>2015 - 2022</v>
          </cell>
          <cell r="D1220" t="str">
            <v>med_reg</v>
          </cell>
          <cell r="E1220" t="str">
            <v>lfls1_s0_a2</v>
          </cell>
          <cell r="F1220">
            <v>0.18027122318744659</v>
          </cell>
          <cell r="G1220">
            <v>6</v>
          </cell>
        </row>
        <row r="1221">
          <cell r="A1221" t="str">
            <v>BGD</v>
          </cell>
          <cell r="B1221" t="str">
            <v>Short</v>
          </cell>
          <cell r="C1221" t="str">
            <v>2015 - 2022</v>
          </cell>
          <cell r="D1221" t="str">
            <v>med_reg</v>
          </cell>
          <cell r="E1221" t="str">
            <v>lfls1_s0_a3</v>
          </cell>
          <cell r="F1221">
            <v>-0.15143889188766479</v>
          </cell>
          <cell r="G1221">
            <v>6</v>
          </cell>
        </row>
        <row r="1222">
          <cell r="A1222" t="str">
            <v>BGD</v>
          </cell>
          <cell r="B1222" t="str">
            <v>Short</v>
          </cell>
          <cell r="C1222" t="str">
            <v>2015 - 2022</v>
          </cell>
          <cell r="D1222" t="str">
            <v>med_reg</v>
          </cell>
          <cell r="E1222" t="str">
            <v>lfls1_s0_a4</v>
          </cell>
          <cell r="F1222">
            <v>0.32928931713104248</v>
          </cell>
          <cell r="G1222">
            <v>6</v>
          </cell>
        </row>
        <row r="1223">
          <cell r="A1223" t="str">
            <v>BGD</v>
          </cell>
          <cell r="B1223" t="str">
            <v>Short</v>
          </cell>
          <cell r="C1223" t="str">
            <v>2015 - 2022</v>
          </cell>
          <cell r="D1223" t="str">
            <v>med_reg</v>
          </cell>
          <cell r="E1223" t="str">
            <v>lfls1_s0_a5</v>
          </cell>
          <cell r="F1223">
            <v>1.6618167161941528</v>
          </cell>
          <cell r="G1223">
            <v>6</v>
          </cell>
        </row>
        <row r="1224">
          <cell r="A1224" t="str">
            <v>BGD</v>
          </cell>
          <cell r="B1224" t="str">
            <v>Short</v>
          </cell>
          <cell r="C1224" t="str">
            <v>2015 - 2022</v>
          </cell>
          <cell r="D1224" t="str">
            <v>med_reg</v>
          </cell>
          <cell r="E1224" t="str">
            <v>lfls1_s0_a6</v>
          </cell>
          <cell r="F1224">
            <v>0.37807664275169373</v>
          </cell>
          <cell r="G1224">
            <v>6</v>
          </cell>
        </row>
        <row r="1225">
          <cell r="A1225" t="str">
            <v>BGD</v>
          </cell>
          <cell r="B1225" t="str">
            <v>Short</v>
          </cell>
          <cell r="C1225" t="str">
            <v>2015 - 2022</v>
          </cell>
          <cell r="D1225" t="str">
            <v>med_reg</v>
          </cell>
          <cell r="E1225" t="str">
            <v>lfls1_s1_A0</v>
          </cell>
          <cell r="F1225">
            <v>-0.28888872265815735</v>
          </cell>
          <cell r="G1225">
            <v>6</v>
          </cell>
        </row>
        <row r="1226">
          <cell r="A1226" t="str">
            <v>BGD</v>
          </cell>
          <cell r="B1226" t="str">
            <v>Short</v>
          </cell>
          <cell r="C1226" t="str">
            <v>2015 - 2022</v>
          </cell>
          <cell r="D1226" t="str">
            <v>med_reg</v>
          </cell>
          <cell r="E1226" t="str">
            <v>lfls1_s1_a1</v>
          </cell>
          <cell r="F1226">
            <v>-1.9553773403167725</v>
          </cell>
          <cell r="G1226">
            <v>6</v>
          </cell>
        </row>
        <row r="1227">
          <cell r="A1227" t="str">
            <v>BGD</v>
          </cell>
          <cell r="B1227" t="str">
            <v>Short</v>
          </cell>
          <cell r="C1227" t="str">
            <v>2015 - 2022</v>
          </cell>
          <cell r="D1227" t="str">
            <v>med_reg</v>
          </cell>
          <cell r="E1227" t="str">
            <v>lfls1_s1_a2</v>
          </cell>
          <cell r="F1227">
            <v>0.38308560848236084</v>
          </cell>
          <cell r="G1227">
            <v>6</v>
          </cell>
        </row>
        <row r="1228">
          <cell r="A1228" t="str">
            <v>BGD</v>
          </cell>
          <cell r="B1228" t="str">
            <v>Short</v>
          </cell>
          <cell r="C1228" t="str">
            <v>2015 - 2022</v>
          </cell>
          <cell r="D1228" t="str">
            <v>med_reg</v>
          </cell>
          <cell r="E1228" t="str">
            <v>lfls1_s1_a3</v>
          </cell>
          <cell r="F1228">
            <v>1.2401716085150838E-3</v>
          </cell>
          <cell r="G1228">
            <v>6</v>
          </cell>
        </row>
        <row r="1229">
          <cell r="A1229" t="str">
            <v>BGD</v>
          </cell>
          <cell r="B1229" t="str">
            <v>Short</v>
          </cell>
          <cell r="C1229" t="str">
            <v>2015 - 2022</v>
          </cell>
          <cell r="D1229" t="str">
            <v>med_reg</v>
          </cell>
          <cell r="E1229" t="str">
            <v>lfls1_s1_a4</v>
          </cell>
          <cell r="F1229">
            <v>0.12410839647054672</v>
          </cell>
          <cell r="G1229">
            <v>6</v>
          </cell>
        </row>
        <row r="1230">
          <cell r="A1230" t="str">
            <v>BGD</v>
          </cell>
          <cell r="B1230" t="str">
            <v>Short</v>
          </cell>
          <cell r="C1230" t="str">
            <v>2015 - 2022</v>
          </cell>
          <cell r="D1230" t="str">
            <v>med_reg</v>
          </cell>
          <cell r="E1230" t="str">
            <v>lfls1_s1_a5</v>
          </cell>
          <cell r="F1230">
            <v>-0.21068975329399109</v>
          </cell>
          <cell r="G1230">
            <v>6</v>
          </cell>
        </row>
        <row r="1231">
          <cell r="A1231" t="str">
            <v>BGD</v>
          </cell>
          <cell r="B1231" t="str">
            <v>Short</v>
          </cell>
          <cell r="C1231" t="str">
            <v>2015 - 2022</v>
          </cell>
          <cell r="D1231" t="str">
            <v>med_reg</v>
          </cell>
          <cell r="E1231" t="str">
            <v>lfls1_s1_a6</v>
          </cell>
          <cell r="F1231">
            <v>1.3216625452041626</v>
          </cell>
          <cell r="G1231">
            <v>6</v>
          </cell>
        </row>
        <row r="1232">
          <cell r="A1232" t="str">
            <v>BGD</v>
          </cell>
          <cell r="B1232" t="str">
            <v>Short</v>
          </cell>
          <cell r="C1232" t="str">
            <v>2015 - 2022</v>
          </cell>
          <cell r="D1232" t="str">
            <v>med_reg</v>
          </cell>
          <cell r="E1232" t="str">
            <v>lfprod_s0_a1</v>
          </cell>
          <cell r="F1232">
            <v>4.5386190414428711</v>
          </cell>
          <cell r="G1232">
            <v>6</v>
          </cell>
        </row>
        <row r="1233">
          <cell r="A1233" t="str">
            <v>BGD</v>
          </cell>
          <cell r="B1233" t="str">
            <v>Short</v>
          </cell>
          <cell r="C1233" t="str">
            <v>2015 - 2022</v>
          </cell>
          <cell r="D1233" t="str">
            <v>med_reg</v>
          </cell>
          <cell r="E1233" t="str">
            <v>lfprod_s0_a2</v>
          </cell>
          <cell r="F1233">
            <v>-0.8197287917137146</v>
          </cell>
          <cell r="G1233">
            <v>6</v>
          </cell>
        </row>
        <row r="1234">
          <cell r="A1234" t="str">
            <v>BGD</v>
          </cell>
          <cell r="B1234" t="str">
            <v>Short</v>
          </cell>
          <cell r="C1234" t="str">
            <v>2015 - 2022</v>
          </cell>
          <cell r="D1234" t="str">
            <v>med_reg</v>
          </cell>
          <cell r="E1234" t="str">
            <v>lfprod_s0_a3</v>
          </cell>
          <cell r="F1234">
            <v>-1.1514389514923096</v>
          </cell>
          <cell r="G1234">
            <v>6</v>
          </cell>
        </row>
        <row r="1235">
          <cell r="A1235" t="str">
            <v>BGD</v>
          </cell>
          <cell r="B1235" t="str">
            <v>Short</v>
          </cell>
          <cell r="C1235" t="str">
            <v>2015 - 2022</v>
          </cell>
          <cell r="D1235" t="str">
            <v>med_reg</v>
          </cell>
          <cell r="E1235" t="str">
            <v>lfprod_s0_a4</v>
          </cell>
          <cell r="F1235">
            <v>-0.67071068286895752</v>
          </cell>
          <cell r="G1235">
            <v>6</v>
          </cell>
        </row>
        <row r="1236">
          <cell r="A1236" t="str">
            <v>BGD</v>
          </cell>
          <cell r="B1236" t="str">
            <v>Short</v>
          </cell>
          <cell r="C1236" t="str">
            <v>2015 - 2022</v>
          </cell>
          <cell r="D1236" t="str">
            <v>med_reg</v>
          </cell>
          <cell r="E1236" t="str">
            <v>lfprod_s0_a5</v>
          </cell>
          <cell r="F1236">
            <v>0.66181671619415283</v>
          </cell>
          <cell r="G1236">
            <v>6</v>
          </cell>
        </row>
        <row r="1237">
          <cell r="A1237" t="str">
            <v>BGD</v>
          </cell>
          <cell r="B1237" t="str">
            <v>Short</v>
          </cell>
          <cell r="C1237" t="str">
            <v>2015 - 2022</v>
          </cell>
          <cell r="D1237" t="str">
            <v>med_reg</v>
          </cell>
          <cell r="E1237" t="str">
            <v>lfprod_s0_a6</v>
          </cell>
          <cell r="F1237">
            <v>-0.62192332744598389</v>
          </cell>
          <cell r="G1237">
            <v>6</v>
          </cell>
        </row>
        <row r="1238">
          <cell r="A1238" t="str">
            <v>BGD</v>
          </cell>
          <cell r="B1238" t="str">
            <v>Short</v>
          </cell>
          <cell r="C1238" t="str">
            <v>2015 - 2022</v>
          </cell>
          <cell r="D1238" t="str">
            <v>med_reg</v>
          </cell>
          <cell r="E1238" t="str">
            <v>lfprod_s1_a1</v>
          </cell>
          <cell r="F1238">
            <v>-2.9553773403167725</v>
          </cell>
          <cell r="G1238">
            <v>6</v>
          </cell>
        </row>
        <row r="1239">
          <cell r="A1239" t="str">
            <v>BGD</v>
          </cell>
          <cell r="B1239" t="str">
            <v>Short</v>
          </cell>
          <cell r="C1239" t="str">
            <v>2015 - 2022</v>
          </cell>
          <cell r="D1239" t="str">
            <v>med_reg</v>
          </cell>
          <cell r="E1239" t="str">
            <v>lfprod_s1_a2</v>
          </cell>
          <cell r="F1239">
            <v>-0.61691439151763916</v>
          </cell>
          <cell r="G1239">
            <v>6</v>
          </cell>
        </row>
        <row r="1240">
          <cell r="A1240" t="str">
            <v>BGD</v>
          </cell>
          <cell r="B1240" t="str">
            <v>Short</v>
          </cell>
          <cell r="C1240" t="str">
            <v>2015 - 2022</v>
          </cell>
          <cell r="D1240" t="str">
            <v>med_reg</v>
          </cell>
          <cell r="E1240" t="str">
            <v>lfprod_s1_a3</v>
          </cell>
          <cell r="F1240">
            <v>-0.99875980615615845</v>
          </cell>
          <cell r="G1240">
            <v>6</v>
          </cell>
        </row>
        <row r="1241">
          <cell r="A1241" t="str">
            <v>BGD</v>
          </cell>
          <cell r="B1241" t="str">
            <v>Short</v>
          </cell>
          <cell r="C1241" t="str">
            <v>2015 - 2022</v>
          </cell>
          <cell r="D1241" t="str">
            <v>med_reg</v>
          </cell>
          <cell r="E1241" t="str">
            <v>lfprod_s1_a4</v>
          </cell>
          <cell r="F1241">
            <v>-0.87589162588119507</v>
          </cell>
          <cell r="G1241">
            <v>6</v>
          </cell>
        </row>
        <row r="1242">
          <cell r="A1242" t="str">
            <v>BGD</v>
          </cell>
          <cell r="B1242" t="str">
            <v>Short</v>
          </cell>
          <cell r="C1242" t="str">
            <v>2015 - 2022</v>
          </cell>
          <cell r="D1242" t="str">
            <v>med_reg</v>
          </cell>
          <cell r="E1242" t="str">
            <v>lfprod_s1_a5</v>
          </cell>
          <cell r="F1242">
            <v>-1.2106897830963135</v>
          </cell>
          <cell r="G1242">
            <v>6</v>
          </cell>
        </row>
        <row r="1243">
          <cell r="A1243" t="str">
            <v>BGD</v>
          </cell>
          <cell r="B1243" t="str">
            <v>Short</v>
          </cell>
          <cell r="C1243" t="str">
            <v>2015 - 2022</v>
          </cell>
          <cell r="D1243" t="str">
            <v>med_reg</v>
          </cell>
          <cell r="E1243" t="str">
            <v>lfprod_s1_a6</v>
          </cell>
          <cell r="F1243">
            <v>0.32166251540184021</v>
          </cell>
          <cell r="G1243">
            <v>6</v>
          </cell>
        </row>
        <row r="1244">
          <cell r="A1244" t="str">
            <v>BGD</v>
          </cell>
          <cell r="B1244" t="str">
            <v>Short</v>
          </cell>
          <cell r="C1244" t="str">
            <v>2015 - 2022</v>
          </cell>
          <cell r="D1244" t="str">
            <v>reg</v>
          </cell>
          <cell r="E1244" t="str">
            <v>lfls12_S0_A0</v>
          </cell>
          <cell r="F1244">
            <v>0.36420696973800659</v>
          </cell>
          <cell r="G1244">
            <v>6</v>
          </cell>
        </row>
        <row r="1245">
          <cell r="A1245" t="str">
            <v>BGD</v>
          </cell>
          <cell r="B1245" t="str">
            <v>Short</v>
          </cell>
          <cell r="C1245" t="str">
            <v>2015 - 2022</v>
          </cell>
          <cell r="D1245" t="str">
            <v>reg</v>
          </cell>
          <cell r="E1245" t="str">
            <v>lfls1_S0_A0</v>
          </cell>
          <cell r="F1245">
            <v>0.37182855606079102</v>
          </cell>
          <cell r="G1245">
            <v>6</v>
          </cell>
        </row>
        <row r="1246">
          <cell r="A1246" t="str">
            <v>BGD</v>
          </cell>
          <cell r="B1246" t="str">
            <v>Short</v>
          </cell>
          <cell r="C1246" t="str">
            <v>2015 - 2022</v>
          </cell>
          <cell r="D1246" t="str">
            <v>reg</v>
          </cell>
          <cell r="E1246" t="str">
            <v>lfls1_S0_a1</v>
          </cell>
          <cell r="F1246">
            <v>0.86043602228164673</v>
          </cell>
          <cell r="G1246">
            <v>6</v>
          </cell>
        </row>
        <row r="1247">
          <cell r="A1247" t="str">
            <v>BGD</v>
          </cell>
          <cell r="B1247" t="str">
            <v>Short</v>
          </cell>
          <cell r="C1247" t="str">
            <v>2015 - 2022</v>
          </cell>
          <cell r="D1247" t="str">
            <v>reg</v>
          </cell>
          <cell r="E1247" t="str">
            <v>lfls1_S0_a2</v>
          </cell>
          <cell r="F1247">
            <v>0.19281153380870819</v>
          </cell>
          <cell r="G1247">
            <v>6</v>
          </cell>
        </row>
        <row r="1248">
          <cell r="A1248" t="str">
            <v>BGD</v>
          </cell>
          <cell r="B1248" t="str">
            <v>Short</v>
          </cell>
          <cell r="C1248" t="str">
            <v>2015 - 2022</v>
          </cell>
          <cell r="D1248" t="str">
            <v>reg</v>
          </cell>
          <cell r="E1248" t="str">
            <v>lfls1_S0_a3</v>
          </cell>
          <cell r="F1248">
            <v>-0.15828391909599304</v>
          </cell>
          <cell r="G1248">
            <v>6</v>
          </cell>
        </row>
        <row r="1249">
          <cell r="A1249" t="str">
            <v>BGD</v>
          </cell>
          <cell r="B1249" t="str">
            <v>Short</v>
          </cell>
          <cell r="C1249" t="str">
            <v>2015 - 2022</v>
          </cell>
          <cell r="D1249" t="str">
            <v>reg</v>
          </cell>
          <cell r="E1249" t="str">
            <v>lfls1_S0_a4</v>
          </cell>
          <cell r="F1249">
            <v>0.34884333610534668</v>
          </cell>
          <cell r="G1249">
            <v>6</v>
          </cell>
        </row>
        <row r="1250">
          <cell r="A1250" t="str">
            <v>BGD</v>
          </cell>
          <cell r="B1250" t="str">
            <v>Short</v>
          </cell>
          <cell r="C1250" t="str">
            <v>2015 - 2022</v>
          </cell>
          <cell r="D1250" t="str">
            <v>reg</v>
          </cell>
          <cell r="E1250" t="str">
            <v>lfls1_S0_a5</v>
          </cell>
          <cell r="F1250">
            <v>0.8865516185760498</v>
          </cell>
          <cell r="G1250">
            <v>6</v>
          </cell>
        </row>
        <row r="1251">
          <cell r="A1251" t="str">
            <v>BGD</v>
          </cell>
          <cell r="B1251" t="str">
            <v>Short</v>
          </cell>
          <cell r="C1251" t="str">
            <v>2015 - 2022</v>
          </cell>
          <cell r="D1251" t="str">
            <v>reg</v>
          </cell>
          <cell r="E1251" t="str">
            <v>lfls1_S0_a6</v>
          </cell>
          <cell r="F1251">
            <v>0.62803804874420166</v>
          </cell>
          <cell r="G1251">
            <v>6</v>
          </cell>
        </row>
        <row r="1252">
          <cell r="A1252" t="str">
            <v>BGD</v>
          </cell>
          <cell r="B1252" t="str">
            <v>Short</v>
          </cell>
          <cell r="C1252" t="str">
            <v>2015 - 2022</v>
          </cell>
          <cell r="D1252" t="str">
            <v>reg</v>
          </cell>
          <cell r="E1252" t="str">
            <v>lfls1_s0_A0</v>
          </cell>
          <cell r="F1252">
            <v>0.75167715549468994</v>
          </cell>
          <cell r="G1252">
            <v>6</v>
          </cell>
        </row>
        <row r="1253">
          <cell r="A1253" t="str">
            <v>BGD</v>
          </cell>
          <cell r="B1253" t="str">
            <v>Short</v>
          </cell>
          <cell r="C1253" t="str">
            <v>2015 - 2022</v>
          </cell>
          <cell r="D1253" t="str">
            <v>reg</v>
          </cell>
          <cell r="E1253" t="str">
            <v>lfls1_s0_a1</v>
          </cell>
          <cell r="F1253">
            <v>5.8268165588378906</v>
          </cell>
          <cell r="G1253">
            <v>6</v>
          </cell>
        </row>
        <row r="1254">
          <cell r="A1254" t="str">
            <v>BGD</v>
          </cell>
          <cell r="B1254" t="str">
            <v>Short</v>
          </cell>
          <cell r="C1254" t="str">
            <v>2015 - 2022</v>
          </cell>
          <cell r="D1254" t="str">
            <v>reg</v>
          </cell>
          <cell r="E1254" t="str">
            <v>lfls1_s0_a2</v>
          </cell>
          <cell r="F1254">
            <v>0.18189077079296112</v>
          </cell>
          <cell r="G1254">
            <v>6</v>
          </cell>
        </row>
        <row r="1255">
          <cell r="A1255" t="str">
            <v>BGD</v>
          </cell>
          <cell r="B1255" t="str">
            <v>Short</v>
          </cell>
          <cell r="C1255" t="str">
            <v>2015 - 2022</v>
          </cell>
          <cell r="D1255" t="str">
            <v>reg</v>
          </cell>
          <cell r="E1255" t="str">
            <v>lfls1_s0_a3</v>
          </cell>
          <cell r="F1255">
            <v>-0.17069312930107117</v>
          </cell>
          <cell r="G1255">
            <v>6</v>
          </cell>
        </row>
        <row r="1256">
          <cell r="A1256" t="str">
            <v>BGD</v>
          </cell>
          <cell r="B1256" t="str">
            <v>Short</v>
          </cell>
          <cell r="C1256" t="str">
            <v>2015 - 2022</v>
          </cell>
          <cell r="D1256" t="str">
            <v>reg</v>
          </cell>
          <cell r="E1256" t="str">
            <v>lfls1_s0_a4</v>
          </cell>
          <cell r="F1256">
            <v>0.35559779405593872</v>
          </cell>
          <cell r="G1256">
            <v>6</v>
          </cell>
        </row>
        <row r="1257">
          <cell r="A1257" t="str">
            <v>BGD</v>
          </cell>
          <cell r="B1257" t="str">
            <v>Short</v>
          </cell>
          <cell r="C1257" t="str">
            <v>2015 - 2022</v>
          </cell>
          <cell r="D1257" t="str">
            <v>reg</v>
          </cell>
          <cell r="E1257" t="str">
            <v>lfls1_s0_a5</v>
          </cell>
          <cell r="F1257">
            <v>1.7348934412002563</v>
          </cell>
          <cell r="G1257">
            <v>6</v>
          </cell>
        </row>
        <row r="1258">
          <cell r="A1258" t="str">
            <v>BGD</v>
          </cell>
          <cell r="B1258" t="str">
            <v>Short</v>
          </cell>
          <cell r="C1258" t="str">
            <v>2015 - 2022</v>
          </cell>
          <cell r="D1258" t="str">
            <v>reg</v>
          </cell>
          <cell r="E1258" t="str">
            <v>lfls1_s0_a6</v>
          </cell>
          <cell r="F1258">
            <v>0.3534730076789856</v>
          </cell>
          <cell r="G1258">
            <v>6</v>
          </cell>
        </row>
        <row r="1259">
          <cell r="A1259" t="str">
            <v>BGD</v>
          </cell>
          <cell r="B1259" t="str">
            <v>Short</v>
          </cell>
          <cell r="C1259" t="str">
            <v>2015 - 2022</v>
          </cell>
          <cell r="D1259" t="str">
            <v>reg</v>
          </cell>
          <cell r="E1259" t="str">
            <v>lfls1_s1_A0</v>
          </cell>
          <cell r="F1259">
            <v>-0.30815955996513367</v>
          </cell>
          <cell r="G1259">
            <v>6</v>
          </cell>
        </row>
        <row r="1260">
          <cell r="A1260" t="str">
            <v>BGD</v>
          </cell>
          <cell r="B1260" t="str">
            <v>Short</v>
          </cell>
          <cell r="C1260" t="str">
            <v>2015 - 2022</v>
          </cell>
          <cell r="D1260" t="str">
            <v>reg</v>
          </cell>
          <cell r="E1260" t="str">
            <v>lfls1_s1_a1</v>
          </cell>
          <cell r="F1260">
            <v>-2.1076726913452148</v>
          </cell>
          <cell r="G1260">
            <v>6</v>
          </cell>
        </row>
        <row r="1261">
          <cell r="A1261" t="str">
            <v>BGD</v>
          </cell>
          <cell r="B1261" t="str">
            <v>Short</v>
          </cell>
          <cell r="C1261" t="str">
            <v>2015 - 2022</v>
          </cell>
          <cell r="D1261" t="str">
            <v>reg</v>
          </cell>
          <cell r="E1261" t="str">
            <v>lfls1_s1_a2</v>
          </cell>
          <cell r="F1261">
            <v>0.40117564797401428</v>
          </cell>
          <cell r="G1261">
            <v>6</v>
          </cell>
        </row>
        <row r="1262">
          <cell r="A1262" t="str">
            <v>BGD</v>
          </cell>
          <cell r="B1262" t="str">
            <v>Short</v>
          </cell>
          <cell r="C1262" t="str">
            <v>2015 - 2022</v>
          </cell>
          <cell r="D1262" t="str">
            <v>reg</v>
          </cell>
          <cell r="E1262" t="str">
            <v>lfls1_s1_a3</v>
          </cell>
          <cell r="F1262">
            <v>-4.703177884221077E-2</v>
          </cell>
          <cell r="G1262">
            <v>6</v>
          </cell>
        </row>
        <row r="1263">
          <cell r="A1263" t="str">
            <v>BGD</v>
          </cell>
          <cell r="B1263" t="str">
            <v>Short</v>
          </cell>
          <cell r="C1263" t="str">
            <v>2015 - 2022</v>
          </cell>
          <cell r="D1263" t="str">
            <v>reg</v>
          </cell>
          <cell r="E1263" t="str">
            <v>lfls1_s1_a4</v>
          </cell>
          <cell r="F1263">
            <v>0.12076184898614883</v>
          </cell>
          <cell r="G1263">
            <v>6</v>
          </cell>
        </row>
        <row r="1264">
          <cell r="A1264" t="str">
            <v>BGD</v>
          </cell>
          <cell r="B1264" t="str">
            <v>Short</v>
          </cell>
          <cell r="C1264" t="str">
            <v>2015 - 2022</v>
          </cell>
          <cell r="D1264" t="str">
            <v>reg</v>
          </cell>
          <cell r="E1264" t="str">
            <v>lfls1_s1_a5</v>
          </cell>
          <cell r="F1264">
            <v>-0.23081856966018677</v>
          </cell>
          <cell r="G1264">
            <v>6</v>
          </cell>
        </row>
        <row r="1265">
          <cell r="A1265" t="str">
            <v>BGD</v>
          </cell>
          <cell r="B1265" t="str">
            <v>Short</v>
          </cell>
          <cell r="C1265" t="str">
            <v>2015 - 2022</v>
          </cell>
          <cell r="D1265" t="str">
            <v>reg</v>
          </cell>
          <cell r="E1265" t="str">
            <v>lfls1_s1_a6</v>
          </cell>
          <cell r="F1265">
            <v>1.4137283563613892</v>
          </cell>
          <cell r="G1265">
            <v>6</v>
          </cell>
        </row>
        <row r="1266">
          <cell r="A1266" t="str">
            <v>BGD</v>
          </cell>
          <cell r="B1266" t="str">
            <v>Short</v>
          </cell>
          <cell r="C1266" t="str">
            <v>2015 - 2022</v>
          </cell>
          <cell r="D1266" t="str">
            <v>reg</v>
          </cell>
          <cell r="E1266" t="str">
            <v>lfprod_s0_a1</v>
          </cell>
          <cell r="F1266">
            <v>4.8268165588378906</v>
          </cell>
          <cell r="G1266">
            <v>6</v>
          </cell>
        </row>
        <row r="1267">
          <cell r="A1267" t="str">
            <v>BGD</v>
          </cell>
          <cell r="B1267" t="str">
            <v>Short</v>
          </cell>
          <cell r="C1267" t="str">
            <v>2015 - 2022</v>
          </cell>
          <cell r="D1267" t="str">
            <v>reg</v>
          </cell>
          <cell r="E1267" t="str">
            <v>lfprod_s0_a2</v>
          </cell>
          <cell r="F1267">
            <v>-0.81810921430587769</v>
          </cell>
          <cell r="G1267">
            <v>6</v>
          </cell>
        </row>
        <row r="1268">
          <cell r="A1268" t="str">
            <v>BGD</v>
          </cell>
          <cell r="B1268" t="str">
            <v>Short</v>
          </cell>
          <cell r="C1268" t="str">
            <v>2015 - 2022</v>
          </cell>
          <cell r="D1268" t="str">
            <v>reg</v>
          </cell>
          <cell r="E1268" t="str">
            <v>lfprod_s0_a3</v>
          </cell>
          <cell r="F1268">
            <v>-1.1706931591033936</v>
          </cell>
          <cell r="G1268">
            <v>6</v>
          </cell>
        </row>
        <row r="1269">
          <cell r="A1269" t="str">
            <v>BGD</v>
          </cell>
          <cell r="B1269" t="str">
            <v>Short</v>
          </cell>
          <cell r="C1269" t="str">
            <v>2015 - 2022</v>
          </cell>
          <cell r="D1269" t="str">
            <v>reg</v>
          </cell>
          <cell r="E1269" t="str">
            <v>lfprod_s0_a4</v>
          </cell>
          <cell r="F1269">
            <v>-0.64440220594406128</v>
          </cell>
          <cell r="G1269">
            <v>6</v>
          </cell>
        </row>
        <row r="1270">
          <cell r="A1270" t="str">
            <v>BGD</v>
          </cell>
          <cell r="B1270" t="str">
            <v>Short</v>
          </cell>
          <cell r="C1270" t="str">
            <v>2015 - 2022</v>
          </cell>
          <cell r="D1270" t="str">
            <v>reg</v>
          </cell>
          <cell r="E1270" t="str">
            <v>lfprod_s0_a5</v>
          </cell>
          <cell r="F1270">
            <v>0.73489344120025635</v>
          </cell>
          <cell r="G1270">
            <v>6</v>
          </cell>
        </row>
        <row r="1271">
          <cell r="A1271" t="str">
            <v>BGD</v>
          </cell>
          <cell r="B1271" t="str">
            <v>Short</v>
          </cell>
          <cell r="C1271" t="str">
            <v>2015 - 2022</v>
          </cell>
          <cell r="D1271" t="str">
            <v>reg</v>
          </cell>
          <cell r="E1271" t="str">
            <v>lfprod_s0_a6</v>
          </cell>
          <cell r="F1271">
            <v>-0.6465269923210144</v>
          </cell>
          <cell r="G1271">
            <v>6</v>
          </cell>
        </row>
        <row r="1272">
          <cell r="A1272" t="str">
            <v>BGD</v>
          </cell>
          <cell r="B1272" t="str">
            <v>Short</v>
          </cell>
          <cell r="C1272" t="str">
            <v>2015 - 2022</v>
          </cell>
          <cell r="D1272" t="str">
            <v>reg</v>
          </cell>
          <cell r="E1272" t="str">
            <v>lfprod_s1_a1</v>
          </cell>
          <cell r="F1272">
            <v>-3.1076726913452148</v>
          </cell>
          <cell r="G1272">
            <v>6</v>
          </cell>
        </row>
        <row r="1273">
          <cell r="A1273" t="str">
            <v>BGD</v>
          </cell>
          <cell r="B1273" t="str">
            <v>Short</v>
          </cell>
          <cell r="C1273" t="str">
            <v>2015 - 2022</v>
          </cell>
          <cell r="D1273" t="str">
            <v>reg</v>
          </cell>
          <cell r="E1273" t="str">
            <v>lfprod_s1_a2</v>
          </cell>
          <cell r="F1273">
            <v>-0.59882432222366333</v>
          </cell>
          <cell r="G1273">
            <v>6</v>
          </cell>
        </row>
        <row r="1274">
          <cell r="A1274" t="str">
            <v>BGD</v>
          </cell>
          <cell r="B1274" t="str">
            <v>Short</v>
          </cell>
          <cell r="C1274" t="str">
            <v>2015 - 2022</v>
          </cell>
          <cell r="D1274" t="str">
            <v>reg</v>
          </cell>
          <cell r="E1274" t="str">
            <v>lfprod_s1_a3</v>
          </cell>
          <cell r="F1274">
            <v>-1.0470317602157593</v>
          </cell>
          <cell r="G1274">
            <v>6</v>
          </cell>
        </row>
        <row r="1275">
          <cell r="A1275" t="str">
            <v>BGD</v>
          </cell>
          <cell r="B1275" t="str">
            <v>Short</v>
          </cell>
          <cell r="C1275" t="str">
            <v>2015 - 2022</v>
          </cell>
          <cell r="D1275" t="str">
            <v>reg</v>
          </cell>
          <cell r="E1275" t="str">
            <v>lfprod_s1_a4</v>
          </cell>
          <cell r="F1275">
            <v>-0.87923812866210938</v>
          </cell>
          <cell r="G1275">
            <v>6</v>
          </cell>
        </row>
        <row r="1276">
          <cell r="A1276" t="str">
            <v>BGD</v>
          </cell>
          <cell r="B1276" t="str">
            <v>Short</v>
          </cell>
          <cell r="C1276" t="str">
            <v>2015 - 2022</v>
          </cell>
          <cell r="D1276" t="str">
            <v>reg</v>
          </cell>
          <cell r="E1276" t="str">
            <v>lfprod_s1_a5</v>
          </cell>
          <cell r="F1276">
            <v>-1.230818510055542</v>
          </cell>
          <cell r="G1276">
            <v>6</v>
          </cell>
        </row>
        <row r="1277">
          <cell r="A1277" t="str">
            <v>BGD</v>
          </cell>
          <cell r="B1277" t="str">
            <v>Short</v>
          </cell>
          <cell r="C1277" t="str">
            <v>2015 - 2022</v>
          </cell>
          <cell r="D1277" t="str">
            <v>reg</v>
          </cell>
          <cell r="E1277" t="str">
            <v>lfprod_s1_a6</v>
          </cell>
          <cell r="F1277">
            <v>0.41372835636138916</v>
          </cell>
          <cell r="G1277">
            <v>6</v>
          </cell>
        </row>
        <row r="1278">
          <cell r="A1278" t="str">
            <v>BGD</v>
          </cell>
          <cell r="B1278" t="str">
            <v>Short</v>
          </cell>
          <cell r="C1278" t="str">
            <v>2016 - 2022</v>
          </cell>
          <cell r="D1278" t="str">
            <v>avg</v>
          </cell>
          <cell r="E1278" t="str">
            <v>hsls12_S0_A0</v>
          </cell>
          <cell r="F1278">
            <v>0.35838958621025085</v>
          </cell>
          <cell r="G1278">
            <v>6</v>
          </cell>
        </row>
        <row r="1279">
          <cell r="A1279" t="str">
            <v>BGD</v>
          </cell>
          <cell r="B1279" t="str">
            <v>Short</v>
          </cell>
          <cell r="C1279" t="str">
            <v>2016 - 2022</v>
          </cell>
          <cell r="D1279" t="str">
            <v>avg</v>
          </cell>
          <cell r="E1279" t="str">
            <v>hsls1_S0_A0</v>
          </cell>
          <cell r="F1279">
            <v>0.33362236618995667</v>
          </cell>
          <cell r="G1279">
            <v>6</v>
          </cell>
        </row>
        <row r="1280">
          <cell r="A1280" t="str">
            <v>BGD</v>
          </cell>
          <cell r="B1280" t="str">
            <v>Short</v>
          </cell>
          <cell r="C1280" t="str">
            <v>2016 - 2022</v>
          </cell>
          <cell r="D1280" t="str">
            <v>avg</v>
          </cell>
          <cell r="E1280" t="str">
            <v>hsls1_S0_a1</v>
          </cell>
          <cell r="F1280">
            <v>0.55237853527069092</v>
          </cell>
          <cell r="G1280">
            <v>6</v>
          </cell>
        </row>
        <row r="1281">
          <cell r="A1281" t="str">
            <v>BGD</v>
          </cell>
          <cell r="B1281" t="str">
            <v>Short</v>
          </cell>
          <cell r="C1281" t="str">
            <v>2016 - 2022</v>
          </cell>
          <cell r="D1281" t="str">
            <v>avg</v>
          </cell>
          <cell r="E1281" t="str">
            <v>hsls1_S0_a2</v>
          </cell>
          <cell r="F1281">
            <v>0.62764430046081543</v>
          </cell>
          <cell r="G1281">
            <v>6</v>
          </cell>
        </row>
        <row r="1282">
          <cell r="A1282" t="str">
            <v>BGD</v>
          </cell>
          <cell r="B1282" t="str">
            <v>Short</v>
          </cell>
          <cell r="C1282" t="str">
            <v>2016 - 2022</v>
          </cell>
          <cell r="D1282" t="str">
            <v>avg</v>
          </cell>
          <cell r="E1282" t="str">
            <v>hsls1_S0_a3</v>
          </cell>
          <cell r="F1282">
            <v>0.35409775376319885</v>
          </cell>
          <cell r="G1282">
            <v>6</v>
          </cell>
        </row>
        <row r="1283">
          <cell r="A1283" t="str">
            <v>BGD</v>
          </cell>
          <cell r="B1283" t="str">
            <v>Short</v>
          </cell>
          <cell r="C1283" t="str">
            <v>2016 - 2022</v>
          </cell>
          <cell r="D1283" t="str">
            <v>avg</v>
          </cell>
          <cell r="E1283" t="str">
            <v>hsls1_S0_a4</v>
          </cell>
          <cell r="F1283">
            <v>-5.3827922791242599E-2</v>
          </cell>
          <cell r="G1283">
            <v>6</v>
          </cell>
        </row>
        <row r="1284">
          <cell r="A1284" t="str">
            <v>BGD</v>
          </cell>
          <cell r="B1284" t="str">
            <v>Short</v>
          </cell>
          <cell r="C1284" t="str">
            <v>2016 - 2022</v>
          </cell>
          <cell r="D1284" t="str">
            <v>avg</v>
          </cell>
          <cell r="E1284" t="str">
            <v>hsls1_S0_a5</v>
          </cell>
          <cell r="F1284">
            <v>0.27837413549423218</v>
          </cell>
          <cell r="G1284">
            <v>6</v>
          </cell>
        </row>
        <row r="1285">
          <cell r="A1285" t="str">
            <v>BGD</v>
          </cell>
          <cell r="B1285" t="str">
            <v>Short</v>
          </cell>
          <cell r="C1285" t="str">
            <v>2016 - 2022</v>
          </cell>
          <cell r="D1285" t="str">
            <v>avg</v>
          </cell>
          <cell r="E1285" t="str">
            <v>hsls1_S0_a6</v>
          </cell>
          <cell r="F1285">
            <v>0.38358873128890991</v>
          </cell>
          <cell r="G1285">
            <v>6</v>
          </cell>
        </row>
        <row r="1286">
          <cell r="A1286" t="str">
            <v>BGD</v>
          </cell>
          <cell r="B1286" t="str">
            <v>Short</v>
          </cell>
          <cell r="C1286" t="str">
            <v>2016 - 2022</v>
          </cell>
          <cell r="D1286" t="str">
            <v>avg</v>
          </cell>
          <cell r="E1286" t="str">
            <v>hsls1_s0_A0</v>
          </cell>
          <cell r="F1286">
            <v>-1.2554699555039406E-2</v>
          </cell>
          <cell r="G1286">
            <v>6</v>
          </cell>
        </row>
        <row r="1287">
          <cell r="A1287" t="str">
            <v>BGD</v>
          </cell>
          <cell r="B1287" t="str">
            <v>Short</v>
          </cell>
          <cell r="C1287" t="str">
            <v>2016 - 2022</v>
          </cell>
          <cell r="D1287" t="str">
            <v>avg</v>
          </cell>
          <cell r="E1287" t="str">
            <v>hsls1_s0_a1</v>
          </cell>
          <cell r="F1287">
            <v>1.0052577257156372</v>
          </cell>
          <cell r="G1287">
            <v>6</v>
          </cell>
        </row>
        <row r="1288">
          <cell r="A1288" t="str">
            <v>BGD</v>
          </cell>
          <cell r="B1288" t="str">
            <v>Short</v>
          </cell>
          <cell r="C1288" t="str">
            <v>2016 - 2022</v>
          </cell>
          <cell r="D1288" t="str">
            <v>avg</v>
          </cell>
          <cell r="E1288" t="str">
            <v>hsls1_s0_a2</v>
          </cell>
          <cell r="F1288">
            <v>0.47443830966949463</v>
          </cell>
          <cell r="G1288">
            <v>6</v>
          </cell>
        </row>
        <row r="1289">
          <cell r="A1289" t="str">
            <v>BGD</v>
          </cell>
          <cell r="B1289" t="str">
            <v>Short</v>
          </cell>
          <cell r="C1289" t="str">
            <v>2016 - 2022</v>
          </cell>
          <cell r="D1289" t="str">
            <v>avg</v>
          </cell>
          <cell r="E1289" t="str">
            <v>hsls1_s0_a3</v>
          </cell>
          <cell r="F1289">
            <v>-4.0827054530382156E-2</v>
          </cell>
          <cell r="G1289">
            <v>6</v>
          </cell>
        </row>
        <row r="1290">
          <cell r="A1290" t="str">
            <v>BGD</v>
          </cell>
          <cell r="B1290" t="str">
            <v>Short</v>
          </cell>
          <cell r="C1290" t="str">
            <v>2016 - 2022</v>
          </cell>
          <cell r="D1290" t="str">
            <v>avg</v>
          </cell>
          <cell r="E1290" t="str">
            <v>hsls1_s0_a4</v>
          </cell>
          <cell r="F1290">
            <v>-0.18949064612388611</v>
          </cell>
          <cell r="G1290">
            <v>6</v>
          </cell>
        </row>
        <row r="1291">
          <cell r="A1291" t="str">
            <v>BGD</v>
          </cell>
          <cell r="B1291" t="str">
            <v>Short</v>
          </cell>
          <cell r="C1291" t="str">
            <v>2016 - 2022</v>
          </cell>
          <cell r="D1291" t="str">
            <v>avg</v>
          </cell>
          <cell r="E1291" t="str">
            <v>hsls1_s0_a5</v>
          </cell>
          <cell r="F1291">
            <v>-0.3075462281703949</v>
          </cell>
          <cell r="G1291">
            <v>6</v>
          </cell>
        </row>
        <row r="1292">
          <cell r="A1292" t="str">
            <v>BGD</v>
          </cell>
          <cell r="B1292" t="str">
            <v>Short</v>
          </cell>
          <cell r="C1292" t="str">
            <v>2016 - 2022</v>
          </cell>
          <cell r="D1292" t="str">
            <v>avg</v>
          </cell>
          <cell r="E1292" t="str">
            <v>hsls1_s0_a6</v>
          </cell>
          <cell r="F1292">
            <v>-9.4280429184436798E-2</v>
          </cell>
          <cell r="G1292">
            <v>6</v>
          </cell>
        </row>
        <row r="1293">
          <cell r="A1293" t="str">
            <v>BGD</v>
          </cell>
          <cell r="B1293" t="str">
            <v>Short</v>
          </cell>
          <cell r="C1293" t="str">
            <v>2016 - 2022</v>
          </cell>
          <cell r="D1293" t="str">
            <v>avg</v>
          </cell>
          <cell r="E1293" t="str">
            <v>hsls1_s1_A0</v>
          </cell>
          <cell r="F1293">
            <v>0.70783334970474243</v>
          </cell>
          <cell r="G1293">
            <v>6</v>
          </cell>
        </row>
        <row r="1294">
          <cell r="A1294" t="str">
            <v>BGD</v>
          </cell>
          <cell r="B1294" t="str">
            <v>Short</v>
          </cell>
          <cell r="C1294" t="str">
            <v>2016 - 2022</v>
          </cell>
          <cell r="D1294" t="str">
            <v>avg</v>
          </cell>
          <cell r="E1294" t="str">
            <v>hsls1_s1_a1</v>
          </cell>
          <cell r="F1294">
            <v>0.48470062017440796</v>
          </cell>
          <cell r="G1294">
            <v>6</v>
          </cell>
        </row>
        <row r="1295">
          <cell r="A1295" t="str">
            <v>BGD</v>
          </cell>
          <cell r="B1295" t="str">
            <v>Short</v>
          </cell>
          <cell r="C1295" t="str">
            <v>2016 - 2022</v>
          </cell>
          <cell r="D1295" t="str">
            <v>avg</v>
          </cell>
          <cell r="E1295" t="str">
            <v>hsls1_s1_a2</v>
          </cell>
          <cell r="F1295">
            <v>0.97298693656921387</v>
          </cell>
          <cell r="G1295">
            <v>6</v>
          </cell>
        </row>
        <row r="1296">
          <cell r="A1296" t="str">
            <v>BGD</v>
          </cell>
          <cell r="B1296" t="str">
            <v>Short</v>
          </cell>
          <cell r="C1296" t="str">
            <v>2016 - 2022</v>
          </cell>
          <cell r="D1296" t="str">
            <v>avg</v>
          </cell>
          <cell r="E1296" t="str">
            <v>hsls1_s1_a3</v>
          </cell>
          <cell r="F1296">
            <v>1.8073049783706665</v>
          </cell>
          <cell r="G1296">
            <v>6</v>
          </cell>
        </row>
        <row r="1297">
          <cell r="A1297" t="str">
            <v>BGD</v>
          </cell>
          <cell r="B1297" t="str">
            <v>Short</v>
          </cell>
          <cell r="C1297" t="str">
            <v>2016 - 2022</v>
          </cell>
          <cell r="D1297" t="str">
            <v>avg</v>
          </cell>
          <cell r="E1297" t="str">
            <v>hsls1_s1_a4</v>
          </cell>
          <cell r="F1297">
            <v>2.7788980007171631</v>
          </cell>
          <cell r="G1297">
            <v>6</v>
          </cell>
        </row>
        <row r="1298">
          <cell r="A1298" t="str">
            <v>BGD</v>
          </cell>
          <cell r="B1298" t="str">
            <v>Short</v>
          </cell>
          <cell r="C1298" t="str">
            <v>2016 - 2022</v>
          </cell>
          <cell r="D1298" t="str">
            <v>avg</v>
          </cell>
          <cell r="E1298" t="str">
            <v>hsls1_s1_a5</v>
          </cell>
          <cell r="F1298">
            <v>1.0250763893127441</v>
          </cell>
          <cell r="G1298">
            <v>6</v>
          </cell>
        </row>
        <row r="1299">
          <cell r="A1299" t="str">
            <v>BGD</v>
          </cell>
          <cell r="B1299" t="str">
            <v>Short</v>
          </cell>
          <cell r="C1299" t="str">
            <v>2016 - 2022</v>
          </cell>
          <cell r="D1299" t="str">
            <v>avg</v>
          </cell>
          <cell r="E1299" t="str">
            <v>hsls1_s1_a6</v>
          </cell>
          <cell r="F1299">
            <v>1.1476885080337524</v>
          </cell>
          <cell r="G1299">
            <v>6</v>
          </cell>
        </row>
        <row r="1300">
          <cell r="A1300" t="str">
            <v>BGD</v>
          </cell>
          <cell r="B1300" t="str">
            <v>Short</v>
          </cell>
          <cell r="C1300" t="str">
            <v>2016 - 2022</v>
          </cell>
          <cell r="D1300" t="str">
            <v>avg</v>
          </cell>
          <cell r="E1300" t="str">
            <v>hsprod_s0_a1</v>
          </cell>
          <cell r="F1300">
            <v>4.3333717621862888E-3</v>
          </cell>
          <cell r="G1300">
            <v>6</v>
          </cell>
        </row>
        <row r="1301">
          <cell r="A1301" t="str">
            <v>BGD</v>
          </cell>
          <cell r="B1301" t="str">
            <v>Short</v>
          </cell>
          <cell r="C1301" t="str">
            <v>2016 - 2022</v>
          </cell>
          <cell r="D1301" t="str">
            <v>avg</v>
          </cell>
          <cell r="E1301" t="str">
            <v>hsprod_s0_a2</v>
          </cell>
          <cell r="F1301">
            <v>-0.3071620762348175</v>
          </cell>
          <cell r="G1301">
            <v>6</v>
          </cell>
        </row>
        <row r="1302">
          <cell r="A1302" t="str">
            <v>BGD</v>
          </cell>
          <cell r="B1302" t="str">
            <v>Short</v>
          </cell>
          <cell r="C1302" t="str">
            <v>2016 - 2022</v>
          </cell>
          <cell r="D1302" t="str">
            <v>avg</v>
          </cell>
          <cell r="E1302" t="str">
            <v>hsprod_s0_a3</v>
          </cell>
          <cell r="F1302">
            <v>-0.62746447324752808</v>
          </cell>
          <cell r="G1302">
            <v>6</v>
          </cell>
        </row>
        <row r="1303">
          <cell r="A1303" t="str">
            <v>BGD</v>
          </cell>
          <cell r="B1303" t="str">
            <v>Short</v>
          </cell>
          <cell r="C1303" t="str">
            <v>2016 - 2022</v>
          </cell>
          <cell r="D1303" t="str">
            <v>avg</v>
          </cell>
          <cell r="E1303" t="str">
            <v>hsprod_s0_a4</v>
          </cell>
          <cell r="F1303">
            <v>-0.86559057235717773</v>
          </cell>
          <cell r="G1303">
            <v>6</v>
          </cell>
        </row>
        <row r="1304">
          <cell r="A1304" t="str">
            <v>BGD</v>
          </cell>
          <cell r="B1304" t="str">
            <v>Short</v>
          </cell>
          <cell r="C1304" t="str">
            <v>2016 - 2022</v>
          </cell>
          <cell r="D1304" t="str">
            <v>avg</v>
          </cell>
          <cell r="E1304" t="str">
            <v>hsprod_s0_a5</v>
          </cell>
          <cell r="F1304">
            <v>-0.91427850723266602</v>
          </cell>
          <cell r="G1304">
            <v>6</v>
          </cell>
        </row>
        <row r="1305">
          <cell r="A1305" t="str">
            <v>BGD</v>
          </cell>
          <cell r="B1305" t="str">
            <v>Short</v>
          </cell>
          <cell r="C1305" t="str">
            <v>2016 - 2022</v>
          </cell>
          <cell r="D1305" t="str">
            <v>avg</v>
          </cell>
          <cell r="E1305" t="str">
            <v>hsprod_s0_a6</v>
          </cell>
          <cell r="F1305">
            <v>-0.76933866739273071</v>
          </cell>
          <cell r="G1305">
            <v>6</v>
          </cell>
        </row>
        <row r="1306">
          <cell r="A1306" t="str">
            <v>BGD</v>
          </cell>
          <cell r="B1306" t="str">
            <v>Short</v>
          </cell>
          <cell r="C1306" t="str">
            <v>2016 - 2022</v>
          </cell>
          <cell r="D1306" t="str">
            <v>avg</v>
          </cell>
          <cell r="E1306" t="str">
            <v>hsprod_s1_a1</v>
          </cell>
          <cell r="F1306">
            <v>-0.42470669746398926</v>
          </cell>
          <cell r="G1306">
            <v>6</v>
          </cell>
        </row>
        <row r="1307">
          <cell r="A1307" t="str">
            <v>BGD</v>
          </cell>
          <cell r="B1307" t="str">
            <v>Short</v>
          </cell>
          <cell r="C1307" t="str">
            <v>2016 - 2022</v>
          </cell>
          <cell r="D1307" t="str">
            <v>avg</v>
          </cell>
          <cell r="E1307" t="str">
            <v>hsprod_s1_a2</v>
          </cell>
          <cell r="F1307">
            <v>-1.5787666663527489E-2</v>
          </cell>
          <cell r="G1307">
            <v>6</v>
          </cell>
        </row>
        <row r="1308">
          <cell r="A1308" t="str">
            <v>BGD</v>
          </cell>
          <cell r="B1308" t="str">
            <v>Short</v>
          </cell>
          <cell r="C1308" t="str">
            <v>2016 - 2022</v>
          </cell>
          <cell r="D1308" t="str">
            <v>avg</v>
          </cell>
          <cell r="E1308" t="str">
            <v>hsprod_s1_a3</v>
          </cell>
          <cell r="F1308">
            <v>0.48668521642684937</v>
          </cell>
          <cell r="G1308">
            <v>6</v>
          </cell>
        </row>
        <row r="1309">
          <cell r="A1309" t="str">
            <v>BGD</v>
          </cell>
          <cell r="B1309" t="str">
            <v>Short</v>
          </cell>
          <cell r="C1309" t="str">
            <v>2016 - 2022</v>
          </cell>
          <cell r="D1309" t="str">
            <v>avg</v>
          </cell>
          <cell r="E1309" t="str">
            <v>hsprod_s1_a4</v>
          </cell>
          <cell r="F1309">
            <v>1.2945014238357544</v>
          </cell>
          <cell r="G1309">
            <v>6</v>
          </cell>
        </row>
        <row r="1310">
          <cell r="A1310" t="str">
            <v>BGD</v>
          </cell>
          <cell r="B1310" t="str">
            <v>Short</v>
          </cell>
          <cell r="C1310" t="str">
            <v>2016 - 2022</v>
          </cell>
          <cell r="D1310" t="str">
            <v>avg</v>
          </cell>
          <cell r="E1310" t="str">
            <v>hsprod_s1_a5</v>
          </cell>
          <cell r="F1310">
            <v>1.7534229904413223E-2</v>
          </cell>
          <cell r="G1310">
            <v>6</v>
          </cell>
        </row>
        <row r="1311">
          <cell r="A1311" t="str">
            <v>BGD</v>
          </cell>
          <cell r="B1311" t="str">
            <v>Short</v>
          </cell>
          <cell r="C1311" t="str">
            <v>2016 - 2022</v>
          </cell>
          <cell r="D1311" t="str">
            <v>avg</v>
          </cell>
          <cell r="E1311" t="str">
            <v>hsprod_s1_a6</v>
          </cell>
          <cell r="F1311">
            <v>0.10383304208517075</v>
          </cell>
          <cell r="G1311">
            <v>6</v>
          </cell>
        </row>
        <row r="1312">
          <cell r="A1312" t="str">
            <v>BGD</v>
          </cell>
          <cell r="B1312" t="str">
            <v>Short</v>
          </cell>
          <cell r="C1312" t="str">
            <v>2016 - 2022</v>
          </cell>
          <cell r="D1312" t="str">
            <v>avg_1_99_imp</v>
          </cell>
          <cell r="E1312" t="str">
            <v>hsls12_S0_A0</v>
          </cell>
          <cell r="F1312">
            <v>0.35838958621025085</v>
          </cell>
          <cell r="G1312">
            <v>6</v>
          </cell>
        </row>
        <row r="1313">
          <cell r="A1313" t="str">
            <v>BGD</v>
          </cell>
          <cell r="B1313" t="str">
            <v>Short</v>
          </cell>
          <cell r="C1313" t="str">
            <v>2016 - 2022</v>
          </cell>
          <cell r="D1313" t="str">
            <v>avg_1_99_imp</v>
          </cell>
          <cell r="E1313" t="str">
            <v>hsls1_S0_A0</v>
          </cell>
          <cell r="F1313">
            <v>0.33362236618995667</v>
          </cell>
          <cell r="G1313">
            <v>6</v>
          </cell>
        </row>
        <row r="1314">
          <cell r="A1314" t="str">
            <v>BGD</v>
          </cell>
          <cell r="B1314" t="str">
            <v>Short</v>
          </cell>
          <cell r="C1314" t="str">
            <v>2016 - 2022</v>
          </cell>
          <cell r="D1314" t="str">
            <v>avg_1_99_imp</v>
          </cell>
          <cell r="E1314" t="str">
            <v>hsls1_S0_a1</v>
          </cell>
          <cell r="F1314">
            <v>0.55237853527069092</v>
          </cell>
          <cell r="G1314">
            <v>6</v>
          </cell>
        </row>
        <row r="1315">
          <cell r="A1315" t="str">
            <v>BGD</v>
          </cell>
          <cell r="B1315" t="str">
            <v>Short</v>
          </cell>
          <cell r="C1315" t="str">
            <v>2016 - 2022</v>
          </cell>
          <cell r="D1315" t="str">
            <v>avg_1_99_imp</v>
          </cell>
          <cell r="E1315" t="str">
            <v>hsls1_S0_a2</v>
          </cell>
          <cell r="F1315">
            <v>0.62764430046081543</v>
          </cell>
          <cell r="G1315">
            <v>6</v>
          </cell>
        </row>
        <row r="1316">
          <cell r="A1316" t="str">
            <v>BGD</v>
          </cell>
          <cell r="B1316" t="str">
            <v>Short</v>
          </cell>
          <cell r="C1316" t="str">
            <v>2016 - 2022</v>
          </cell>
          <cell r="D1316" t="str">
            <v>avg_1_99_imp</v>
          </cell>
          <cell r="E1316" t="str">
            <v>hsls1_S0_a3</v>
          </cell>
          <cell r="F1316">
            <v>0.35409775376319885</v>
          </cell>
          <cell r="G1316">
            <v>6</v>
          </cell>
        </row>
        <row r="1317">
          <cell r="A1317" t="str">
            <v>BGD</v>
          </cell>
          <cell r="B1317" t="str">
            <v>Short</v>
          </cell>
          <cell r="C1317" t="str">
            <v>2016 - 2022</v>
          </cell>
          <cell r="D1317" t="str">
            <v>avg_1_99_imp</v>
          </cell>
          <cell r="E1317" t="str">
            <v>hsls1_S0_a4</v>
          </cell>
          <cell r="F1317">
            <v>-5.3827922791242599E-2</v>
          </cell>
          <cell r="G1317">
            <v>6</v>
          </cell>
        </row>
        <row r="1318">
          <cell r="A1318" t="str">
            <v>BGD</v>
          </cell>
          <cell r="B1318" t="str">
            <v>Short</v>
          </cell>
          <cell r="C1318" t="str">
            <v>2016 - 2022</v>
          </cell>
          <cell r="D1318" t="str">
            <v>avg_1_99_imp</v>
          </cell>
          <cell r="E1318" t="str">
            <v>hsls1_S0_a5</v>
          </cell>
          <cell r="F1318">
            <v>0.27837413549423218</v>
          </cell>
          <cell r="G1318">
            <v>6</v>
          </cell>
        </row>
        <row r="1319">
          <cell r="A1319" t="str">
            <v>BGD</v>
          </cell>
          <cell r="B1319" t="str">
            <v>Short</v>
          </cell>
          <cell r="C1319" t="str">
            <v>2016 - 2022</v>
          </cell>
          <cell r="D1319" t="str">
            <v>avg_1_99_imp</v>
          </cell>
          <cell r="E1319" t="str">
            <v>hsls1_S0_a6</v>
          </cell>
          <cell r="F1319">
            <v>0.38358873128890991</v>
          </cell>
          <cell r="G1319">
            <v>6</v>
          </cell>
        </row>
        <row r="1320">
          <cell r="A1320" t="str">
            <v>BGD</v>
          </cell>
          <cell r="B1320" t="str">
            <v>Short</v>
          </cell>
          <cell r="C1320" t="str">
            <v>2016 - 2022</v>
          </cell>
          <cell r="D1320" t="str">
            <v>avg_1_99_imp</v>
          </cell>
          <cell r="E1320" t="str">
            <v>hsls1_s0_A0</v>
          </cell>
          <cell r="F1320">
            <v>-1.2554699555039406E-2</v>
          </cell>
          <cell r="G1320">
            <v>6</v>
          </cell>
        </row>
        <row r="1321">
          <cell r="A1321" t="str">
            <v>BGD</v>
          </cell>
          <cell r="B1321" t="str">
            <v>Short</v>
          </cell>
          <cell r="C1321" t="str">
            <v>2016 - 2022</v>
          </cell>
          <cell r="D1321" t="str">
            <v>avg_1_99_imp</v>
          </cell>
          <cell r="E1321" t="str">
            <v>hsls1_s0_a1</v>
          </cell>
          <cell r="F1321">
            <v>1.0052577257156372</v>
          </cell>
          <cell r="G1321">
            <v>6</v>
          </cell>
        </row>
        <row r="1322">
          <cell r="A1322" t="str">
            <v>BGD</v>
          </cell>
          <cell r="B1322" t="str">
            <v>Short</v>
          </cell>
          <cell r="C1322" t="str">
            <v>2016 - 2022</v>
          </cell>
          <cell r="D1322" t="str">
            <v>avg_1_99_imp</v>
          </cell>
          <cell r="E1322" t="str">
            <v>hsls1_s0_a2</v>
          </cell>
          <cell r="F1322">
            <v>0.47443830966949463</v>
          </cell>
          <cell r="G1322">
            <v>6</v>
          </cell>
        </row>
        <row r="1323">
          <cell r="A1323" t="str">
            <v>BGD</v>
          </cell>
          <cell r="B1323" t="str">
            <v>Short</v>
          </cell>
          <cell r="C1323" t="str">
            <v>2016 - 2022</v>
          </cell>
          <cell r="D1323" t="str">
            <v>avg_1_99_imp</v>
          </cell>
          <cell r="E1323" t="str">
            <v>hsls1_s0_a3</v>
          </cell>
          <cell r="F1323">
            <v>-4.0827054530382156E-2</v>
          </cell>
          <cell r="G1323">
            <v>6</v>
          </cell>
        </row>
        <row r="1324">
          <cell r="A1324" t="str">
            <v>BGD</v>
          </cell>
          <cell r="B1324" t="str">
            <v>Short</v>
          </cell>
          <cell r="C1324" t="str">
            <v>2016 - 2022</v>
          </cell>
          <cell r="D1324" t="str">
            <v>avg_1_99_imp</v>
          </cell>
          <cell r="E1324" t="str">
            <v>hsls1_s0_a4</v>
          </cell>
          <cell r="F1324">
            <v>-0.18949064612388611</v>
          </cell>
          <cell r="G1324">
            <v>6</v>
          </cell>
        </row>
        <row r="1325">
          <cell r="A1325" t="str">
            <v>BGD</v>
          </cell>
          <cell r="B1325" t="str">
            <v>Short</v>
          </cell>
          <cell r="C1325" t="str">
            <v>2016 - 2022</v>
          </cell>
          <cell r="D1325" t="str">
            <v>avg_1_99_imp</v>
          </cell>
          <cell r="E1325" t="str">
            <v>hsls1_s0_a5</v>
          </cell>
          <cell r="F1325">
            <v>-0.3075462281703949</v>
          </cell>
          <cell r="G1325">
            <v>6</v>
          </cell>
        </row>
        <row r="1326">
          <cell r="A1326" t="str">
            <v>BGD</v>
          </cell>
          <cell r="B1326" t="str">
            <v>Short</v>
          </cell>
          <cell r="C1326" t="str">
            <v>2016 - 2022</v>
          </cell>
          <cell r="D1326" t="str">
            <v>avg_1_99_imp</v>
          </cell>
          <cell r="E1326" t="str">
            <v>hsls1_s0_a6</v>
          </cell>
          <cell r="F1326">
            <v>-9.4280429184436798E-2</v>
          </cell>
          <cell r="G1326">
            <v>6</v>
          </cell>
        </row>
        <row r="1327">
          <cell r="A1327" t="str">
            <v>BGD</v>
          </cell>
          <cell r="B1327" t="str">
            <v>Short</v>
          </cell>
          <cell r="C1327" t="str">
            <v>2016 - 2022</v>
          </cell>
          <cell r="D1327" t="str">
            <v>avg_1_99_imp</v>
          </cell>
          <cell r="E1327" t="str">
            <v>hsls1_s1_A0</v>
          </cell>
          <cell r="F1327">
            <v>0.70783334970474243</v>
          </cell>
          <cell r="G1327">
            <v>6</v>
          </cell>
        </row>
        <row r="1328">
          <cell r="A1328" t="str">
            <v>BGD</v>
          </cell>
          <cell r="B1328" t="str">
            <v>Short</v>
          </cell>
          <cell r="C1328" t="str">
            <v>2016 - 2022</v>
          </cell>
          <cell r="D1328" t="str">
            <v>avg_1_99_imp</v>
          </cell>
          <cell r="E1328" t="str">
            <v>hsls1_s1_a1</v>
          </cell>
          <cell r="F1328">
            <v>0.48470062017440796</v>
          </cell>
          <cell r="G1328">
            <v>6</v>
          </cell>
        </row>
        <row r="1329">
          <cell r="A1329" t="str">
            <v>BGD</v>
          </cell>
          <cell r="B1329" t="str">
            <v>Short</v>
          </cell>
          <cell r="C1329" t="str">
            <v>2016 - 2022</v>
          </cell>
          <cell r="D1329" t="str">
            <v>avg_1_99_imp</v>
          </cell>
          <cell r="E1329" t="str">
            <v>hsls1_s1_a2</v>
          </cell>
          <cell r="F1329">
            <v>0.97298693656921387</v>
          </cell>
          <cell r="G1329">
            <v>6</v>
          </cell>
        </row>
        <row r="1330">
          <cell r="A1330" t="str">
            <v>BGD</v>
          </cell>
          <cell r="B1330" t="str">
            <v>Short</v>
          </cell>
          <cell r="C1330" t="str">
            <v>2016 - 2022</v>
          </cell>
          <cell r="D1330" t="str">
            <v>avg_1_99_imp</v>
          </cell>
          <cell r="E1330" t="str">
            <v>hsls1_s1_a3</v>
          </cell>
          <cell r="F1330">
            <v>1.8073049783706665</v>
          </cell>
          <cell r="G1330">
            <v>6</v>
          </cell>
        </row>
        <row r="1331">
          <cell r="A1331" t="str">
            <v>BGD</v>
          </cell>
          <cell r="B1331" t="str">
            <v>Short</v>
          </cell>
          <cell r="C1331" t="str">
            <v>2016 - 2022</v>
          </cell>
          <cell r="D1331" t="str">
            <v>avg_1_99_imp</v>
          </cell>
          <cell r="E1331" t="str">
            <v>hsls1_s1_a4</v>
          </cell>
          <cell r="F1331">
            <v>2.7788980007171631</v>
          </cell>
          <cell r="G1331">
            <v>6</v>
          </cell>
        </row>
        <row r="1332">
          <cell r="A1332" t="str">
            <v>BGD</v>
          </cell>
          <cell r="B1332" t="str">
            <v>Short</v>
          </cell>
          <cell r="C1332" t="str">
            <v>2016 - 2022</v>
          </cell>
          <cell r="D1332" t="str">
            <v>avg_1_99_imp</v>
          </cell>
          <cell r="E1332" t="str">
            <v>hsls1_s1_a5</v>
          </cell>
          <cell r="F1332">
            <v>1.0250763893127441</v>
          </cell>
          <cell r="G1332">
            <v>6</v>
          </cell>
        </row>
        <row r="1333">
          <cell r="A1333" t="str">
            <v>BGD</v>
          </cell>
          <cell r="B1333" t="str">
            <v>Short</v>
          </cell>
          <cell r="C1333" t="str">
            <v>2016 - 2022</v>
          </cell>
          <cell r="D1333" t="str">
            <v>avg_1_99_imp</v>
          </cell>
          <cell r="E1333" t="str">
            <v>hsls1_s1_a6</v>
          </cell>
          <cell r="F1333">
            <v>1.1476885080337524</v>
          </cell>
          <cell r="G1333">
            <v>6</v>
          </cell>
        </row>
        <row r="1334">
          <cell r="A1334" t="str">
            <v>BGD</v>
          </cell>
          <cell r="B1334" t="str">
            <v>Short</v>
          </cell>
          <cell r="C1334" t="str">
            <v>2016 - 2022</v>
          </cell>
          <cell r="D1334" t="str">
            <v>avg_1_99_imp</v>
          </cell>
          <cell r="E1334" t="str">
            <v>hsprod_s0_a1</v>
          </cell>
          <cell r="F1334">
            <v>4.3333717621862888E-3</v>
          </cell>
          <cell r="G1334">
            <v>6</v>
          </cell>
        </row>
        <row r="1335">
          <cell r="A1335" t="str">
            <v>BGD</v>
          </cell>
          <cell r="B1335" t="str">
            <v>Short</v>
          </cell>
          <cell r="C1335" t="str">
            <v>2016 - 2022</v>
          </cell>
          <cell r="D1335" t="str">
            <v>avg_1_99_imp</v>
          </cell>
          <cell r="E1335" t="str">
            <v>hsprod_s0_a2</v>
          </cell>
          <cell r="F1335">
            <v>-0.3071620762348175</v>
          </cell>
          <cell r="G1335">
            <v>6</v>
          </cell>
        </row>
        <row r="1336">
          <cell r="A1336" t="str">
            <v>BGD</v>
          </cell>
          <cell r="B1336" t="str">
            <v>Short</v>
          </cell>
          <cell r="C1336" t="str">
            <v>2016 - 2022</v>
          </cell>
          <cell r="D1336" t="str">
            <v>avg_1_99_imp</v>
          </cell>
          <cell r="E1336" t="str">
            <v>hsprod_s0_a3</v>
          </cell>
          <cell r="F1336">
            <v>-0.62746447324752808</v>
          </cell>
          <cell r="G1336">
            <v>6</v>
          </cell>
        </row>
        <row r="1337">
          <cell r="A1337" t="str">
            <v>BGD</v>
          </cell>
          <cell r="B1337" t="str">
            <v>Short</v>
          </cell>
          <cell r="C1337" t="str">
            <v>2016 - 2022</v>
          </cell>
          <cell r="D1337" t="str">
            <v>avg_1_99_imp</v>
          </cell>
          <cell r="E1337" t="str">
            <v>hsprod_s0_a4</v>
          </cell>
          <cell r="F1337">
            <v>-0.86559057235717773</v>
          </cell>
          <cell r="G1337">
            <v>6</v>
          </cell>
        </row>
        <row r="1338">
          <cell r="A1338" t="str">
            <v>BGD</v>
          </cell>
          <cell r="B1338" t="str">
            <v>Short</v>
          </cell>
          <cell r="C1338" t="str">
            <v>2016 - 2022</v>
          </cell>
          <cell r="D1338" t="str">
            <v>avg_1_99_imp</v>
          </cell>
          <cell r="E1338" t="str">
            <v>hsprod_s0_a5</v>
          </cell>
          <cell r="F1338">
            <v>-0.91427850723266602</v>
          </cell>
          <cell r="G1338">
            <v>6</v>
          </cell>
        </row>
        <row r="1339">
          <cell r="A1339" t="str">
            <v>BGD</v>
          </cell>
          <cell r="B1339" t="str">
            <v>Short</v>
          </cell>
          <cell r="C1339" t="str">
            <v>2016 - 2022</v>
          </cell>
          <cell r="D1339" t="str">
            <v>avg_1_99_imp</v>
          </cell>
          <cell r="E1339" t="str">
            <v>hsprod_s0_a6</v>
          </cell>
          <cell r="F1339">
            <v>-0.76933866739273071</v>
          </cell>
          <cell r="G1339">
            <v>6</v>
          </cell>
        </row>
        <row r="1340">
          <cell r="A1340" t="str">
            <v>BGD</v>
          </cell>
          <cell r="B1340" t="str">
            <v>Short</v>
          </cell>
          <cell r="C1340" t="str">
            <v>2016 - 2022</v>
          </cell>
          <cell r="D1340" t="str">
            <v>avg_1_99_imp</v>
          </cell>
          <cell r="E1340" t="str">
            <v>hsprod_s1_a1</v>
          </cell>
          <cell r="F1340">
            <v>-0.42470669746398926</v>
          </cell>
          <cell r="G1340">
            <v>6</v>
          </cell>
        </row>
        <row r="1341">
          <cell r="A1341" t="str">
            <v>BGD</v>
          </cell>
          <cell r="B1341" t="str">
            <v>Short</v>
          </cell>
          <cell r="C1341" t="str">
            <v>2016 - 2022</v>
          </cell>
          <cell r="D1341" t="str">
            <v>avg_1_99_imp</v>
          </cell>
          <cell r="E1341" t="str">
            <v>hsprod_s1_a2</v>
          </cell>
          <cell r="F1341">
            <v>-1.5787666663527489E-2</v>
          </cell>
          <cell r="G1341">
            <v>6</v>
          </cell>
        </row>
        <row r="1342">
          <cell r="A1342" t="str">
            <v>BGD</v>
          </cell>
          <cell r="B1342" t="str">
            <v>Short</v>
          </cell>
          <cell r="C1342" t="str">
            <v>2016 - 2022</v>
          </cell>
          <cell r="D1342" t="str">
            <v>avg_1_99_imp</v>
          </cell>
          <cell r="E1342" t="str">
            <v>hsprod_s1_a3</v>
          </cell>
          <cell r="F1342">
            <v>0.48668521642684937</v>
          </cell>
          <cell r="G1342">
            <v>6</v>
          </cell>
        </row>
        <row r="1343">
          <cell r="A1343" t="str">
            <v>BGD</v>
          </cell>
          <cell r="B1343" t="str">
            <v>Short</v>
          </cell>
          <cell r="C1343" t="str">
            <v>2016 - 2022</v>
          </cell>
          <cell r="D1343" t="str">
            <v>avg_1_99_imp</v>
          </cell>
          <cell r="E1343" t="str">
            <v>hsprod_s1_a4</v>
          </cell>
          <cell r="F1343">
            <v>1.2945014238357544</v>
          </cell>
          <cell r="G1343">
            <v>6</v>
          </cell>
        </row>
        <row r="1344">
          <cell r="A1344" t="str">
            <v>BGD</v>
          </cell>
          <cell r="B1344" t="str">
            <v>Short</v>
          </cell>
          <cell r="C1344" t="str">
            <v>2016 - 2022</v>
          </cell>
          <cell r="D1344" t="str">
            <v>avg_1_99_imp</v>
          </cell>
          <cell r="E1344" t="str">
            <v>hsprod_s1_a5</v>
          </cell>
          <cell r="F1344">
            <v>1.7534229904413223E-2</v>
          </cell>
          <cell r="G1344">
            <v>6</v>
          </cell>
        </row>
        <row r="1345">
          <cell r="A1345" t="str">
            <v>BGD</v>
          </cell>
          <cell r="B1345" t="str">
            <v>Short</v>
          </cell>
          <cell r="C1345" t="str">
            <v>2016 - 2022</v>
          </cell>
          <cell r="D1345" t="str">
            <v>avg_1_99_imp</v>
          </cell>
          <cell r="E1345" t="str">
            <v>hsprod_s1_a6</v>
          </cell>
          <cell r="F1345">
            <v>0.10383304208517075</v>
          </cell>
          <cell r="G1345">
            <v>6</v>
          </cell>
        </row>
        <row r="1346">
          <cell r="A1346" t="str">
            <v>BGD</v>
          </cell>
          <cell r="B1346" t="str">
            <v>Short</v>
          </cell>
          <cell r="C1346" t="str">
            <v>2016 - 2022</v>
          </cell>
          <cell r="D1346" t="str">
            <v>reg</v>
          </cell>
          <cell r="E1346" t="str">
            <v>hsls12_S0_A0</v>
          </cell>
          <cell r="F1346">
            <v>0.4034169614315033</v>
          </cell>
          <cell r="G1346">
            <v>6</v>
          </cell>
        </row>
        <row r="1347">
          <cell r="A1347" t="str">
            <v>BGD</v>
          </cell>
          <cell r="B1347" t="str">
            <v>Short</v>
          </cell>
          <cell r="C1347" t="str">
            <v>2016 - 2022</v>
          </cell>
          <cell r="D1347" t="str">
            <v>reg</v>
          </cell>
          <cell r="E1347" t="str">
            <v>hsls1_S0_A0</v>
          </cell>
          <cell r="F1347">
            <v>0.37744155526161194</v>
          </cell>
          <cell r="G1347">
            <v>6</v>
          </cell>
        </row>
        <row r="1348">
          <cell r="A1348" t="str">
            <v>BGD</v>
          </cell>
          <cell r="B1348" t="str">
            <v>Short</v>
          </cell>
          <cell r="C1348" t="str">
            <v>2016 - 2022</v>
          </cell>
          <cell r="D1348" t="str">
            <v>reg</v>
          </cell>
          <cell r="E1348" t="str">
            <v>hsls1_S0_a1</v>
          </cell>
          <cell r="F1348">
            <v>0.57608526945114136</v>
          </cell>
          <cell r="G1348">
            <v>6</v>
          </cell>
        </row>
        <row r="1349">
          <cell r="A1349" t="str">
            <v>BGD</v>
          </cell>
          <cell r="B1349" t="str">
            <v>Short</v>
          </cell>
          <cell r="C1349" t="str">
            <v>2016 - 2022</v>
          </cell>
          <cell r="D1349" t="str">
            <v>reg</v>
          </cell>
          <cell r="E1349" t="str">
            <v>hsls1_S0_a2</v>
          </cell>
          <cell r="F1349">
            <v>0.68701070547103882</v>
          </cell>
          <cell r="G1349">
            <v>6</v>
          </cell>
        </row>
        <row r="1350">
          <cell r="A1350" t="str">
            <v>BGD</v>
          </cell>
          <cell r="B1350" t="str">
            <v>Short</v>
          </cell>
          <cell r="C1350" t="str">
            <v>2016 - 2022</v>
          </cell>
          <cell r="D1350" t="str">
            <v>reg</v>
          </cell>
          <cell r="E1350" t="str">
            <v>hsls1_S0_a3</v>
          </cell>
          <cell r="F1350">
            <v>0.41430270671844482</v>
          </cell>
          <cell r="G1350">
            <v>6</v>
          </cell>
        </row>
        <row r="1351">
          <cell r="A1351" t="str">
            <v>BGD</v>
          </cell>
          <cell r="B1351" t="str">
            <v>Short</v>
          </cell>
          <cell r="C1351" t="str">
            <v>2016 - 2022</v>
          </cell>
          <cell r="D1351" t="str">
            <v>reg</v>
          </cell>
          <cell r="E1351" t="str">
            <v>hsls1_S0_a4</v>
          </cell>
          <cell r="F1351">
            <v>-6.4013227820396423E-2</v>
          </cell>
          <cell r="G1351">
            <v>6</v>
          </cell>
        </row>
        <row r="1352">
          <cell r="A1352" t="str">
            <v>BGD</v>
          </cell>
          <cell r="B1352" t="str">
            <v>Short</v>
          </cell>
          <cell r="C1352" t="str">
            <v>2016 - 2022</v>
          </cell>
          <cell r="D1352" t="str">
            <v>reg</v>
          </cell>
          <cell r="E1352" t="str">
            <v>hsls1_S0_a5</v>
          </cell>
          <cell r="F1352">
            <v>0.3161126971244812</v>
          </cell>
          <cell r="G1352">
            <v>6</v>
          </cell>
        </row>
        <row r="1353">
          <cell r="A1353" t="str">
            <v>BGD</v>
          </cell>
          <cell r="B1353" t="str">
            <v>Short</v>
          </cell>
          <cell r="C1353" t="str">
            <v>2016 - 2022</v>
          </cell>
          <cell r="D1353" t="str">
            <v>reg</v>
          </cell>
          <cell r="E1353" t="str">
            <v>hsls1_S0_a6</v>
          </cell>
          <cell r="F1353">
            <v>0.42618834972381592</v>
          </cell>
          <cell r="G1353">
            <v>6</v>
          </cell>
        </row>
        <row r="1354">
          <cell r="A1354" t="str">
            <v>BGD</v>
          </cell>
          <cell r="B1354" t="str">
            <v>Short</v>
          </cell>
          <cell r="C1354" t="str">
            <v>2016 - 2022</v>
          </cell>
          <cell r="D1354" t="str">
            <v>reg</v>
          </cell>
          <cell r="E1354" t="str">
            <v>hsls1_s0_A0</v>
          </cell>
          <cell r="F1354">
            <v>-1.5316971577703953E-2</v>
          </cell>
          <cell r="G1354">
            <v>6</v>
          </cell>
        </row>
        <row r="1355">
          <cell r="A1355" t="str">
            <v>BGD</v>
          </cell>
          <cell r="B1355" t="str">
            <v>Short</v>
          </cell>
          <cell r="C1355" t="str">
            <v>2016 - 2022</v>
          </cell>
          <cell r="D1355" t="str">
            <v>reg</v>
          </cell>
          <cell r="E1355" t="str">
            <v>hsls1_s0_a1</v>
          </cell>
          <cell r="F1355">
            <v>1.0047785043716431</v>
          </cell>
          <cell r="G1355">
            <v>6</v>
          </cell>
        </row>
        <row r="1356">
          <cell r="A1356" t="str">
            <v>BGD</v>
          </cell>
          <cell r="B1356" t="str">
            <v>Short</v>
          </cell>
          <cell r="C1356" t="str">
            <v>2016 - 2022</v>
          </cell>
          <cell r="D1356" t="str">
            <v>reg</v>
          </cell>
          <cell r="E1356" t="str">
            <v>hsls1_s0_a2</v>
          </cell>
          <cell r="F1356">
            <v>0.54121142625808716</v>
          </cell>
          <cell r="G1356">
            <v>6</v>
          </cell>
        </row>
        <row r="1357">
          <cell r="A1357" t="str">
            <v>BGD</v>
          </cell>
          <cell r="B1357" t="str">
            <v>Short</v>
          </cell>
          <cell r="C1357" t="str">
            <v>2016 - 2022</v>
          </cell>
          <cell r="D1357" t="str">
            <v>reg</v>
          </cell>
          <cell r="E1357" t="str">
            <v>hsls1_s0_a3</v>
          </cell>
          <cell r="F1357">
            <v>-5.3873416036367416E-2</v>
          </cell>
          <cell r="G1357">
            <v>6</v>
          </cell>
        </row>
        <row r="1358">
          <cell r="A1358" t="str">
            <v>BGD</v>
          </cell>
          <cell r="B1358" t="str">
            <v>Short</v>
          </cell>
          <cell r="C1358" t="str">
            <v>2016 - 2022</v>
          </cell>
          <cell r="D1358" t="str">
            <v>reg</v>
          </cell>
          <cell r="E1358" t="str">
            <v>hsls1_s0_a4</v>
          </cell>
          <cell r="F1358">
            <v>-0.23137226700782776</v>
          </cell>
          <cell r="G1358">
            <v>6</v>
          </cell>
        </row>
        <row r="1359">
          <cell r="A1359" t="str">
            <v>BGD</v>
          </cell>
          <cell r="B1359" t="str">
            <v>Short</v>
          </cell>
          <cell r="C1359" t="str">
            <v>2016 - 2022</v>
          </cell>
          <cell r="D1359" t="str">
            <v>reg</v>
          </cell>
          <cell r="E1359" t="str">
            <v>hsls1_s0_a5</v>
          </cell>
          <cell r="F1359">
            <v>-0.39660793542861938</v>
          </cell>
          <cell r="G1359">
            <v>6</v>
          </cell>
        </row>
        <row r="1360">
          <cell r="A1360" t="str">
            <v>BGD</v>
          </cell>
          <cell r="B1360" t="str">
            <v>Short</v>
          </cell>
          <cell r="C1360" t="str">
            <v>2016 - 2022</v>
          </cell>
          <cell r="D1360" t="str">
            <v>reg</v>
          </cell>
          <cell r="E1360" t="str">
            <v>hsls1_s0_a6</v>
          </cell>
          <cell r="F1360">
            <v>-0.11533601582050323</v>
          </cell>
          <cell r="G1360">
            <v>6</v>
          </cell>
        </row>
        <row r="1361">
          <cell r="A1361" t="str">
            <v>BGD</v>
          </cell>
          <cell r="B1361" t="str">
            <v>Short</v>
          </cell>
          <cell r="C1361" t="str">
            <v>2016 - 2022</v>
          </cell>
          <cell r="D1361" t="str">
            <v>reg</v>
          </cell>
          <cell r="E1361" t="str">
            <v>hsls1_s1_A0</v>
          </cell>
          <cell r="F1361">
            <v>0.74495667219161987</v>
          </cell>
          <cell r="G1361">
            <v>6</v>
          </cell>
        </row>
        <row r="1362">
          <cell r="A1362" t="str">
            <v>BGD</v>
          </cell>
          <cell r="B1362" t="str">
            <v>Short</v>
          </cell>
          <cell r="C1362" t="str">
            <v>2016 - 2022</v>
          </cell>
          <cell r="D1362" t="str">
            <v>reg</v>
          </cell>
          <cell r="E1362" t="str">
            <v>hsls1_s1_a1</v>
          </cell>
          <cell r="F1362">
            <v>0.50885671377182007</v>
          </cell>
          <cell r="G1362">
            <v>6</v>
          </cell>
        </row>
        <row r="1363">
          <cell r="A1363" t="str">
            <v>BGD</v>
          </cell>
          <cell r="B1363" t="str">
            <v>Short</v>
          </cell>
          <cell r="C1363" t="str">
            <v>2016 - 2022</v>
          </cell>
          <cell r="D1363" t="str">
            <v>reg</v>
          </cell>
          <cell r="E1363" t="str">
            <v>hsls1_s1_a2</v>
          </cell>
          <cell r="F1363">
            <v>0.97898143529891968</v>
          </cell>
          <cell r="G1363">
            <v>6</v>
          </cell>
        </row>
        <row r="1364">
          <cell r="A1364" t="str">
            <v>BGD</v>
          </cell>
          <cell r="B1364" t="str">
            <v>Short</v>
          </cell>
          <cell r="C1364" t="str">
            <v>2016 - 2022</v>
          </cell>
          <cell r="D1364" t="str">
            <v>reg</v>
          </cell>
          <cell r="E1364" t="str">
            <v>hsls1_s1_a3</v>
          </cell>
          <cell r="F1364">
            <v>1.5495157241821289</v>
          </cell>
          <cell r="G1364">
            <v>6</v>
          </cell>
        </row>
        <row r="1365">
          <cell r="A1365" t="str">
            <v>BGD</v>
          </cell>
          <cell r="B1365" t="str">
            <v>Short</v>
          </cell>
          <cell r="C1365" t="str">
            <v>2016 - 2022</v>
          </cell>
          <cell r="D1365" t="str">
            <v>reg</v>
          </cell>
          <cell r="E1365" t="str">
            <v>hsls1_s1_a4</v>
          </cell>
          <cell r="F1365">
            <v>2.2426786422729492</v>
          </cell>
          <cell r="G1365">
            <v>6</v>
          </cell>
        </row>
        <row r="1366">
          <cell r="A1366" t="str">
            <v>BGD</v>
          </cell>
          <cell r="B1366" t="str">
            <v>Short</v>
          </cell>
          <cell r="C1366" t="str">
            <v>2016 - 2022</v>
          </cell>
          <cell r="D1366" t="str">
            <v>reg</v>
          </cell>
          <cell r="E1366" t="str">
            <v>hsls1_s1_a5</v>
          </cell>
          <cell r="F1366">
            <v>1.0210018157958984</v>
          </cell>
          <cell r="G1366">
            <v>6</v>
          </cell>
        </row>
        <row r="1367">
          <cell r="A1367" t="str">
            <v>BGD</v>
          </cell>
          <cell r="B1367" t="str">
            <v>Short</v>
          </cell>
          <cell r="C1367" t="str">
            <v>2016 - 2022</v>
          </cell>
          <cell r="D1367" t="str">
            <v>reg</v>
          </cell>
          <cell r="E1367" t="str">
            <v>hsls1_s1_a6</v>
          </cell>
          <cell r="F1367">
            <v>1.1218236684799194</v>
          </cell>
          <cell r="G1367">
            <v>6</v>
          </cell>
        </row>
        <row r="1368">
          <cell r="A1368" t="str">
            <v>BGD</v>
          </cell>
          <cell r="B1368" t="str">
            <v>Short</v>
          </cell>
          <cell r="C1368" t="str">
            <v>2016 - 2022</v>
          </cell>
          <cell r="D1368" t="str">
            <v>reg</v>
          </cell>
          <cell r="E1368" t="str">
            <v>hsprod_s0_a1</v>
          </cell>
          <cell r="F1368">
            <v>4.7784475609660149E-3</v>
          </cell>
          <cell r="G1368">
            <v>6</v>
          </cell>
        </row>
        <row r="1369">
          <cell r="A1369" t="str">
            <v>BGD</v>
          </cell>
          <cell r="B1369" t="str">
            <v>Short</v>
          </cell>
          <cell r="C1369" t="str">
            <v>2016 - 2022</v>
          </cell>
          <cell r="D1369" t="str">
            <v>reg</v>
          </cell>
          <cell r="E1369" t="str">
            <v>hsprod_s0_a2</v>
          </cell>
          <cell r="F1369">
            <v>-0.45878857374191284</v>
          </cell>
          <cell r="G1369">
            <v>6</v>
          </cell>
        </row>
        <row r="1370">
          <cell r="A1370" t="str">
            <v>BGD</v>
          </cell>
          <cell r="B1370" t="str">
            <v>Short</v>
          </cell>
          <cell r="C1370" t="str">
            <v>2016 - 2022</v>
          </cell>
          <cell r="D1370" t="str">
            <v>reg</v>
          </cell>
          <cell r="E1370" t="str">
            <v>hsprod_s0_a3</v>
          </cell>
          <cell r="F1370">
            <v>-1.0538734197616577</v>
          </cell>
          <cell r="G1370">
            <v>6</v>
          </cell>
        </row>
        <row r="1371">
          <cell r="A1371" t="str">
            <v>BGD</v>
          </cell>
          <cell r="B1371" t="str">
            <v>Short</v>
          </cell>
          <cell r="C1371" t="str">
            <v>2016 - 2022</v>
          </cell>
          <cell r="D1371" t="str">
            <v>reg</v>
          </cell>
          <cell r="E1371" t="str">
            <v>hsprod_s0_a4</v>
          </cell>
          <cell r="F1371">
            <v>-1.2313722372055054</v>
          </cell>
          <cell r="G1371">
            <v>6</v>
          </cell>
        </row>
        <row r="1372">
          <cell r="A1372" t="str">
            <v>BGD</v>
          </cell>
          <cell r="B1372" t="str">
            <v>Short</v>
          </cell>
          <cell r="C1372" t="str">
            <v>2016 - 2022</v>
          </cell>
          <cell r="D1372" t="str">
            <v>reg</v>
          </cell>
          <cell r="E1372" t="str">
            <v>hsprod_s0_a5</v>
          </cell>
          <cell r="F1372">
            <v>-1.3966079950332642</v>
          </cell>
          <cell r="G1372">
            <v>6</v>
          </cell>
        </row>
        <row r="1373">
          <cell r="A1373" t="str">
            <v>BGD</v>
          </cell>
          <cell r="B1373" t="str">
            <v>Short</v>
          </cell>
          <cell r="C1373" t="str">
            <v>2016 - 2022</v>
          </cell>
          <cell r="D1373" t="str">
            <v>reg</v>
          </cell>
          <cell r="E1373" t="str">
            <v>hsprod_s0_a6</v>
          </cell>
          <cell r="F1373">
            <v>-1.1153360605239868</v>
          </cell>
          <cell r="G1373">
            <v>6</v>
          </cell>
        </row>
        <row r="1374">
          <cell r="A1374" t="str">
            <v>BGD</v>
          </cell>
          <cell r="B1374" t="str">
            <v>Short</v>
          </cell>
          <cell r="C1374" t="str">
            <v>2016 - 2022</v>
          </cell>
          <cell r="D1374" t="str">
            <v>reg</v>
          </cell>
          <cell r="E1374" t="str">
            <v>hsprod_s1_a1</v>
          </cell>
          <cell r="F1374">
            <v>-0.49114328622817993</v>
          </cell>
          <cell r="G1374">
            <v>6</v>
          </cell>
        </row>
        <row r="1375">
          <cell r="A1375" t="str">
            <v>BGD</v>
          </cell>
          <cell r="B1375" t="str">
            <v>Short</v>
          </cell>
          <cell r="C1375" t="str">
            <v>2016 - 2022</v>
          </cell>
          <cell r="D1375" t="str">
            <v>reg</v>
          </cell>
          <cell r="E1375" t="str">
            <v>hsprod_s1_a2</v>
          </cell>
          <cell r="F1375">
            <v>-2.1018540486693382E-2</v>
          </cell>
          <cell r="G1375">
            <v>6</v>
          </cell>
        </row>
        <row r="1376">
          <cell r="A1376" t="str">
            <v>BGD</v>
          </cell>
          <cell r="B1376" t="str">
            <v>Short</v>
          </cell>
          <cell r="C1376" t="str">
            <v>2016 - 2022</v>
          </cell>
          <cell r="D1376" t="str">
            <v>reg</v>
          </cell>
          <cell r="E1376" t="str">
            <v>hsprod_s1_a3</v>
          </cell>
          <cell r="F1376">
            <v>0.54951578378677368</v>
          </cell>
          <cell r="G1376">
            <v>6</v>
          </cell>
        </row>
        <row r="1377">
          <cell r="A1377" t="str">
            <v>BGD</v>
          </cell>
          <cell r="B1377" t="str">
            <v>Short</v>
          </cell>
          <cell r="C1377" t="str">
            <v>2016 - 2022</v>
          </cell>
          <cell r="D1377" t="str">
            <v>reg</v>
          </cell>
          <cell r="E1377" t="str">
            <v>hsprod_s1_a4</v>
          </cell>
          <cell r="F1377">
            <v>1.2426786422729492</v>
          </cell>
          <cell r="G1377">
            <v>6</v>
          </cell>
        </row>
        <row r="1378">
          <cell r="A1378" t="str">
            <v>BGD</v>
          </cell>
          <cell r="B1378" t="str">
            <v>Short</v>
          </cell>
          <cell r="C1378" t="str">
            <v>2016 - 2022</v>
          </cell>
          <cell r="D1378" t="str">
            <v>reg</v>
          </cell>
          <cell r="E1378" t="str">
            <v>hsprod_s1_a5</v>
          </cell>
          <cell r="F1378">
            <v>2.1001830697059631E-2</v>
          </cell>
          <cell r="G1378">
            <v>6</v>
          </cell>
        </row>
        <row r="1379">
          <cell r="A1379" t="str">
            <v>BGD</v>
          </cell>
          <cell r="B1379" t="str">
            <v>Short</v>
          </cell>
          <cell r="C1379" t="str">
            <v>2016 - 2022</v>
          </cell>
          <cell r="D1379" t="str">
            <v>reg</v>
          </cell>
          <cell r="E1379" t="str">
            <v>hsprod_s1_a6</v>
          </cell>
          <cell r="F1379">
            <v>0.12182362377643585</v>
          </cell>
          <cell r="G1379">
            <v>6</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12" t="s">
        <v>0</v>
      </c>
      <c r="C2" s="512"/>
      <c r="D2" s="512"/>
      <c r="E2" s="291"/>
    </row>
    <row r="3" spans="1:5" x14ac:dyDescent="0.2">
      <c r="A3" s="291"/>
      <c r="B3" s="513" t="s">
        <v>1</v>
      </c>
      <c r="C3" s="513"/>
      <c r="D3" s="513"/>
      <c r="E3" s="291"/>
    </row>
    <row r="4" spans="1:5" x14ac:dyDescent="0.2">
      <c r="A4" s="291"/>
      <c r="B4" s="513"/>
      <c r="C4" s="513"/>
      <c r="D4" s="513"/>
      <c r="E4" s="291"/>
    </row>
    <row r="5" spans="1:5" ht="15" x14ac:dyDescent="0.25">
      <c r="A5" s="291"/>
      <c r="B5" s="514" t="s">
        <v>2</v>
      </c>
      <c r="C5" s="514"/>
      <c r="D5" s="110" t="s">
        <v>3</v>
      </c>
      <c r="E5" s="291"/>
    </row>
    <row r="6" spans="1:5" ht="15" x14ac:dyDescent="0.25">
      <c r="A6" s="291"/>
      <c r="B6" s="511" t="s">
        <v>4</v>
      </c>
      <c r="C6" s="511"/>
      <c r="D6" s="511"/>
      <c r="E6" s="291"/>
    </row>
    <row r="7" spans="1:5" x14ac:dyDescent="0.2">
      <c r="A7" s="291"/>
      <c r="B7" s="509" t="s">
        <v>5</v>
      </c>
      <c r="C7" s="509"/>
      <c r="D7" s="105" t="s">
        <v>6</v>
      </c>
      <c r="E7" s="291"/>
    </row>
    <row r="8" spans="1:5" x14ac:dyDescent="0.2">
      <c r="A8" s="291"/>
      <c r="B8" s="509" t="s">
        <v>7</v>
      </c>
      <c r="C8" s="509"/>
      <c r="D8" s="105" t="s">
        <v>8</v>
      </c>
      <c r="E8" s="291"/>
    </row>
    <row r="9" spans="1:5" x14ac:dyDescent="0.2">
      <c r="A9" s="291"/>
      <c r="B9" s="509" t="s">
        <v>9</v>
      </c>
      <c r="C9" s="509"/>
      <c r="D9" s="105" t="s">
        <v>10</v>
      </c>
      <c r="E9" s="291"/>
    </row>
    <row r="10" spans="1:5" x14ac:dyDescent="0.2">
      <c r="A10" s="291"/>
      <c r="B10" s="515" t="s">
        <v>11</v>
      </c>
      <c r="C10" s="515"/>
      <c r="D10" s="105" t="s">
        <v>12</v>
      </c>
      <c r="E10" s="291"/>
    </row>
    <row r="11" spans="1:5" x14ac:dyDescent="0.2">
      <c r="A11" s="291"/>
      <c r="B11" s="515" t="s">
        <v>13</v>
      </c>
      <c r="C11" s="515"/>
      <c r="D11" s="105" t="s">
        <v>14</v>
      </c>
      <c r="E11" s="291"/>
    </row>
    <row r="12" spans="1:5" ht="15" x14ac:dyDescent="0.25">
      <c r="A12" s="291"/>
      <c r="B12" s="511" t="s">
        <v>15</v>
      </c>
      <c r="C12" s="511"/>
      <c r="D12" s="511"/>
      <c r="E12" s="291"/>
    </row>
    <row r="13" spans="1:5" x14ac:dyDescent="0.2">
      <c r="A13" s="291"/>
      <c r="B13" s="510" t="s">
        <v>16</v>
      </c>
      <c r="C13" s="510"/>
      <c r="D13" s="106" t="s">
        <v>10</v>
      </c>
      <c r="E13" s="291"/>
    </row>
    <row r="14" spans="1:5" x14ac:dyDescent="0.2">
      <c r="A14" s="291"/>
      <c r="B14" s="510" t="s">
        <v>17</v>
      </c>
      <c r="C14" s="510"/>
      <c r="D14" s="106" t="s">
        <v>18</v>
      </c>
      <c r="E14" s="291"/>
    </row>
    <row r="15" spans="1:5" x14ac:dyDescent="0.2">
      <c r="A15" s="291"/>
      <c r="B15" s="510" t="s">
        <v>19</v>
      </c>
      <c r="C15" s="510"/>
      <c r="D15" s="106" t="s">
        <v>20</v>
      </c>
      <c r="E15" s="291"/>
    </row>
    <row r="16" spans="1:5" x14ac:dyDescent="0.2">
      <c r="A16" s="291"/>
      <c r="B16" s="510" t="s">
        <v>21</v>
      </c>
      <c r="C16" s="510"/>
      <c r="D16" s="106" t="s">
        <v>22</v>
      </c>
      <c r="E16" s="291"/>
    </row>
    <row r="17" spans="1:5" x14ac:dyDescent="0.2">
      <c r="A17" s="291"/>
      <c r="B17" s="510" t="s">
        <v>23</v>
      </c>
      <c r="C17" s="510"/>
      <c r="D17" s="106" t="s">
        <v>24</v>
      </c>
      <c r="E17" s="291"/>
    </row>
    <row r="18" spans="1:5" ht="25.5" x14ac:dyDescent="0.2">
      <c r="A18" s="291"/>
      <c r="B18" s="510" t="s">
        <v>25</v>
      </c>
      <c r="C18" s="510"/>
      <c r="D18" s="106" t="s">
        <v>26</v>
      </c>
      <c r="E18" s="291"/>
    </row>
    <row r="19" spans="1:5" x14ac:dyDescent="0.2">
      <c r="A19" s="291"/>
      <c r="B19" s="510" t="s">
        <v>27</v>
      </c>
      <c r="C19" s="510"/>
      <c r="D19" s="106" t="s">
        <v>28</v>
      </c>
      <c r="E19" s="291"/>
    </row>
    <row r="20" spans="1:5" x14ac:dyDescent="0.2">
      <c r="A20" s="291"/>
      <c r="B20" s="510" t="s">
        <v>29</v>
      </c>
      <c r="C20" s="510"/>
      <c r="D20" s="106" t="s">
        <v>30</v>
      </c>
      <c r="E20" s="291"/>
    </row>
    <row r="21" spans="1:5" x14ac:dyDescent="0.2">
      <c r="A21" s="291"/>
      <c r="B21" s="510" t="s">
        <v>31</v>
      </c>
      <c r="C21" s="510"/>
      <c r="D21" s="106" t="s">
        <v>32</v>
      </c>
      <c r="E21" s="291"/>
    </row>
    <row r="22" spans="1:5" x14ac:dyDescent="0.2">
      <c r="A22" s="291"/>
      <c r="B22" s="510" t="s">
        <v>33</v>
      </c>
      <c r="C22" s="510"/>
      <c r="D22" s="106" t="s">
        <v>34</v>
      </c>
      <c r="E22" s="291"/>
    </row>
    <row r="23" spans="1:5" x14ac:dyDescent="0.2">
      <c r="A23" s="291"/>
      <c r="B23" s="510" t="s">
        <v>35</v>
      </c>
      <c r="C23" s="510"/>
      <c r="D23" s="107" t="s">
        <v>36</v>
      </c>
      <c r="E23" s="291"/>
    </row>
    <row r="24" spans="1:5" ht="25.5" x14ac:dyDescent="0.2">
      <c r="A24" s="291"/>
      <c r="B24" s="510"/>
      <c r="C24" s="510"/>
      <c r="D24" s="107" t="s">
        <v>37</v>
      </c>
      <c r="E24" s="291"/>
    </row>
    <row r="25" spans="1:5" ht="25.5" x14ac:dyDescent="0.2">
      <c r="A25" s="291"/>
      <c r="B25" s="510"/>
      <c r="C25" s="510"/>
      <c r="D25" s="107" t="s">
        <v>38</v>
      </c>
      <c r="E25" s="291"/>
    </row>
    <row r="26" spans="1:5" x14ac:dyDescent="0.2">
      <c r="A26" s="291"/>
      <c r="B26" s="510" t="s">
        <v>39</v>
      </c>
      <c r="C26" s="510"/>
      <c r="D26" s="105" t="s">
        <v>40</v>
      </c>
      <c r="E26" s="291"/>
    </row>
    <row r="27" spans="1:5" x14ac:dyDescent="0.2">
      <c r="A27" s="291"/>
      <c r="B27" s="510" t="s">
        <v>41</v>
      </c>
      <c r="C27" s="510"/>
      <c r="D27" s="105" t="s">
        <v>42</v>
      </c>
      <c r="E27" s="291"/>
    </row>
    <row r="28" spans="1:5" x14ac:dyDescent="0.2">
      <c r="A28" s="291"/>
      <c r="B28" s="510" t="s">
        <v>43</v>
      </c>
      <c r="C28" s="510"/>
      <c r="D28" s="105" t="s">
        <v>44</v>
      </c>
      <c r="E28" s="291"/>
    </row>
    <row r="29" spans="1:5" x14ac:dyDescent="0.2">
      <c r="A29" s="291"/>
      <c r="B29" s="510" t="s">
        <v>45</v>
      </c>
      <c r="C29" s="510"/>
      <c r="D29" s="105" t="s">
        <v>46</v>
      </c>
      <c r="E29" s="291"/>
    </row>
    <row r="30" spans="1:5" x14ac:dyDescent="0.2">
      <c r="A30" s="291"/>
      <c r="B30" s="510" t="s">
        <v>47</v>
      </c>
      <c r="C30" s="510"/>
      <c r="D30" s="105" t="s">
        <v>46</v>
      </c>
      <c r="E30" s="291"/>
    </row>
    <row r="31" spans="1:5" x14ac:dyDescent="0.2">
      <c r="A31" s="291"/>
      <c r="B31" s="510" t="s">
        <v>48</v>
      </c>
      <c r="C31" s="510"/>
      <c r="D31" s="105" t="s">
        <v>49</v>
      </c>
      <c r="E31" s="291"/>
    </row>
    <row r="32" spans="1:5" ht="15" x14ac:dyDescent="0.25">
      <c r="A32" s="291"/>
      <c r="B32" s="511" t="s">
        <v>50</v>
      </c>
      <c r="C32" s="511"/>
      <c r="D32" s="511"/>
      <c r="E32" s="291"/>
    </row>
    <row r="33" spans="1:5" x14ac:dyDescent="0.2">
      <c r="A33" s="291"/>
      <c r="B33" s="510" t="s">
        <v>51</v>
      </c>
      <c r="C33" s="510"/>
      <c r="D33" s="108" t="s">
        <v>52</v>
      </c>
      <c r="E33" s="291"/>
    </row>
    <row r="34" spans="1:5" ht="25.5" x14ac:dyDescent="0.2">
      <c r="A34" s="291"/>
      <c r="B34" s="510" t="s">
        <v>53</v>
      </c>
      <c r="C34" s="510"/>
      <c r="D34" s="105" t="s">
        <v>54</v>
      </c>
      <c r="E34" s="291"/>
    </row>
    <row r="35" spans="1:5" x14ac:dyDescent="0.2">
      <c r="A35" s="291"/>
      <c r="B35" s="510" t="s">
        <v>55</v>
      </c>
      <c r="C35" s="510"/>
      <c r="D35" s="108" t="s">
        <v>56</v>
      </c>
      <c r="E35" s="291"/>
    </row>
    <row r="36" spans="1:5" ht="15" x14ac:dyDescent="0.25">
      <c r="A36" s="291"/>
      <c r="B36" s="511" t="s">
        <v>57</v>
      </c>
      <c r="C36" s="511"/>
      <c r="D36" s="511"/>
      <c r="E36" s="291"/>
    </row>
    <row r="37" spans="1:5" x14ac:dyDescent="0.2">
      <c r="A37" s="291"/>
      <c r="B37" s="510" t="s">
        <v>58</v>
      </c>
      <c r="C37" s="108" t="s">
        <v>59</v>
      </c>
      <c r="D37" s="105" t="s">
        <v>60</v>
      </c>
      <c r="E37" s="291"/>
    </row>
    <row r="38" spans="1:5" x14ac:dyDescent="0.2">
      <c r="A38" s="291"/>
      <c r="B38" s="510"/>
      <c r="C38" s="108" t="s">
        <v>61</v>
      </c>
      <c r="D38" s="105" t="s">
        <v>62</v>
      </c>
      <c r="E38" s="291"/>
    </row>
    <row r="39" spans="1:5" x14ac:dyDescent="0.2">
      <c r="A39" s="291"/>
      <c r="B39" s="510"/>
      <c r="C39" s="108" t="s">
        <v>63</v>
      </c>
      <c r="D39" s="105" t="s">
        <v>64</v>
      </c>
      <c r="E39" s="291"/>
    </row>
    <row r="40" spans="1:5" ht="25.5" x14ac:dyDescent="0.2">
      <c r="A40" s="291"/>
      <c r="B40" s="510" t="s">
        <v>65</v>
      </c>
      <c r="C40" s="109" t="s">
        <v>66</v>
      </c>
      <c r="D40" s="105" t="s">
        <v>67</v>
      </c>
      <c r="E40" s="291"/>
    </row>
    <row r="41" spans="1:5" x14ac:dyDescent="0.2">
      <c r="A41" s="291"/>
      <c r="B41" s="510"/>
      <c r="C41" s="109" t="s">
        <v>68</v>
      </c>
      <c r="D41" s="105" t="s">
        <v>69</v>
      </c>
      <c r="E41" s="291"/>
    </row>
    <row r="42" spans="1:5" x14ac:dyDescent="0.2">
      <c r="A42" s="291"/>
      <c r="B42" s="510"/>
      <c r="C42" s="109" t="s">
        <v>70</v>
      </c>
      <c r="D42" s="105" t="s">
        <v>71</v>
      </c>
      <c r="E42" s="291"/>
    </row>
    <row r="43" spans="1:5" x14ac:dyDescent="0.2">
      <c r="A43" s="291"/>
      <c r="B43" s="510"/>
      <c r="C43" s="105" t="s">
        <v>72</v>
      </c>
      <c r="D43" s="105" t="s">
        <v>73</v>
      </c>
      <c r="E43" s="291"/>
    </row>
    <row r="44" spans="1:5" ht="15" x14ac:dyDescent="0.25">
      <c r="A44" s="291"/>
      <c r="B44" s="511" t="s">
        <v>74</v>
      </c>
      <c r="C44" s="511"/>
      <c r="D44" s="511"/>
      <c r="E44" s="291"/>
    </row>
    <row r="45" spans="1:5" x14ac:dyDescent="0.2">
      <c r="A45" s="291"/>
      <c r="B45" s="509" t="s">
        <v>75</v>
      </c>
      <c r="C45" s="509"/>
      <c r="D45" s="108" t="s">
        <v>76</v>
      </c>
      <c r="E45" s="291"/>
    </row>
    <row r="46" spans="1:5" x14ac:dyDescent="0.2">
      <c r="A46" s="291"/>
      <c r="B46" s="509" t="s">
        <v>77</v>
      </c>
      <c r="C46" s="509"/>
      <c r="D46" s="108" t="s">
        <v>78</v>
      </c>
      <c r="E46" s="291"/>
    </row>
    <row r="47" spans="1:5" x14ac:dyDescent="0.2">
      <c r="A47" s="291"/>
      <c r="B47" s="509" t="s">
        <v>79</v>
      </c>
      <c r="C47" s="509"/>
      <c r="D47" s="108" t="s">
        <v>80</v>
      </c>
      <c r="E47" s="291"/>
    </row>
    <row r="48" spans="1:5" ht="15" x14ac:dyDescent="0.25">
      <c r="A48" s="291"/>
      <c r="B48" s="511" t="s">
        <v>74</v>
      </c>
      <c r="C48" s="511"/>
      <c r="D48" s="511"/>
      <c r="E48" s="291"/>
    </row>
    <row r="49" spans="1:5" x14ac:dyDescent="0.2">
      <c r="A49" s="291"/>
      <c r="B49" s="509" t="s">
        <v>81</v>
      </c>
      <c r="C49" s="509"/>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45:C45"/>
    <mergeCell ref="B29:C29"/>
    <mergeCell ref="B28:C28"/>
    <mergeCell ref="B30:C30"/>
    <mergeCell ref="B31:C31"/>
    <mergeCell ref="B34:C34"/>
    <mergeCell ref="B35:C35"/>
    <mergeCell ref="B32:D32"/>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16" t="s">
        <v>83</v>
      </c>
      <c r="E2" s="516"/>
      <c r="F2" s="119"/>
      <c r="G2" s="93"/>
      <c r="H2" s="93"/>
      <c r="AA2" s="111" t="s">
        <v>84</v>
      </c>
      <c r="AB2" s="61" t="s">
        <v>85</v>
      </c>
    </row>
    <row r="3" spans="1:28" ht="15" x14ac:dyDescent="0.25">
      <c r="A3" s="93"/>
      <c r="B3" s="93"/>
      <c r="C3" s="286"/>
      <c r="D3" s="180" t="s">
        <v>384</v>
      </c>
      <c r="E3" s="178" t="s">
        <v>383</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18" t="s">
        <v>88</v>
      </c>
      <c r="E7" s="518"/>
      <c r="F7" s="120"/>
      <c r="G7" s="112"/>
      <c r="H7" s="93"/>
      <c r="AB7" s="61"/>
    </row>
    <row r="8" spans="1:28" ht="15" customHeight="1" x14ac:dyDescent="0.2">
      <c r="A8" s="93"/>
      <c r="B8" s="118"/>
      <c r="C8" s="118"/>
      <c r="D8" s="523" t="s">
        <v>470</v>
      </c>
      <c r="E8" s="523"/>
      <c r="F8" s="121"/>
      <c r="G8" s="118"/>
      <c r="H8" s="93"/>
      <c r="AB8" s="61"/>
    </row>
    <row r="9" spans="1:28" ht="15" customHeight="1" x14ac:dyDescent="0.2">
      <c r="A9" s="93"/>
      <c r="B9" s="118"/>
      <c r="C9" s="118"/>
      <c r="D9" s="524" t="s">
        <v>90</v>
      </c>
      <c r="E9" s="524"/>
      <c r="F9" s="121"/>
      <c r="G9" s="118"/>
      <c r="H9" s="93"/>
      <c r="AB9" s="61"/>
    </row>
    <row r="10" spans="1:28" ht="15" customHeight="1" x14ac:dyDescent="0.2">
      <c r="A10" s="93"/>
      <c r="B10" s="118"/>
      <c r="C10" s="118"/>
      <c r="D10" s="525" t="str">
        <f>+" + Elasticities"</f>
        <v xml:space="preserve"> + Elasticities</v>
      </c>
      <c r="E10" s="525"/>
      <c r="F10" s="121"/>
      <c r="G10" s="118"/>
      <c r="H10" s="93"/>
      <c r="AB10" s="61"/>
    </row>
    <row r="11" spans="1:28" ht="15" customHeight="1" x14ac:dyDescent="0.2">
      <c r="A11" s="93"/>
      <c r="B11" s="118"/>
      <c r="C11" s="118"/>
      <c r="D11" s="525" t="str">
        <f>+" + Growth Rates"</f>
        <v xml:space="preserve"> + Growth Rates</v>
      </c>
      <c r="E11" s="525"/>
      <c r="F11" s="121"/>
      <c r="G11" s="118"/>
      <c r="H11" s="93"/>
      <c r="AB11" s="61"/>
    </row>
    <row r="12" spans="1:28" x14ac:dyDescent="0.2">
      <c r="A12" s="93"/>
      <c r="B12" s="118"/>
      <c r="C12" s="118"/>
      <c r="D12" s="519" t="s">
        <v>91</v>
      </c>
      <c r="E12" s="519"/>
      <c r="F12" s="121"/>
      <c r="G12" s="118"/>
      <c r="H12" s="93"/>
      <c r="AB12" s="61"/>
    </row>
    <row r="13" spans="1:28" ht="17.25" customHeight="1" x14ac:dyDescent="0.2">
      <c r="A13" s="93"/>
      <c r="B13" s="118"/>
      <c r="C13" s="118"/>
      <c r="D13" s="520" t="s">
        <v>92</v>
      </c>
      <c r="E13" s="520"/>
      <c r="F13" s="121"/>
      <c r="G13" s="118"/>
      <c r="H13" s="93"/>
      <c r="AB13" s="61"/>
    </row>
    <row r="14" spans="1:28" ht="17.25" customHeight="1" x14ac:dyDescent="0.2">
      <c r="A14" s="93"/>
      <c r="B14" s="118"/>
      <c r="C14" s="118"/>
      <c r="D14" s="407"/>
      <c r="E14" s="407"/>
      <c r="F14" s="121"/>
      <c r="G14" s="118"/>
      <c r="H14" s="93"/>
      <c r="AB14" s="61"/>
    </row>
    <row r="15" spans="1:28" ht="17.25" customHeight="1" x14ac:dyDescent="0.2">
      <c r="A15" s="93"/>
      <c r="B15" s="118"/>
      <c r="C15" s="118"/>
      <c r="D15" s="521" t="s">
        <v>93</v>
      </c>
      <c r="E15" s="521"/>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22" t="s">
        <v>94</v>
      </c>
      <c r="C17" s="522"/>
      <c r="D17" s="522"/>
      <c r="E17" s="522"/>
      <c r="F17" s="522"/>
      <c r="G17" s="522"/>
      <c r="H17" s="93"/>
      <c r="AB17" s="61"/>
    </row>
    <row r="18" spans="1:28" ht="11.25" customHeight="1" x14ac:dyDescent="0.2">
      <c r="A18" s="93"/>
      <c r="B18" s="522"/>
      <c r="C18" s="522"/>
      <c r="D18" s="522"/>
      <c r="E18" s="522"/>
      <c r="F18" s="522"/>
      <c r="G18" s="522"/>
      <c r="H18" s="93"/>
      <c r="AB18" s="61"/>
    </row>
    <row r="19" spans="1:28" x14ac:dyDescent="0.2">
      <c r="A19" s="93"/>
      <c r="B19" s="517" t="s">
        <v>95</v>
      </c>
      <c r="C19" s="517"/>
      <c r="D19" s="517"/>
      <c r="E19" s="517"/>
      <c r="F19" s="517"/>
      <c r="G19" s="517"/>
      <c r="H19" s="93"/>
      <c r="AB19" s="61"/>
    </row>
    <row r="20" spans="1:28" x14ac:dyDescent="0.2">
      <c r="A20" s="93"/>
      <c r="B20" s="517"/>
      <c r="C20" s="517"/>
      <c r="D20" s="517"/>
      <c r="E20" s="517"/>
      <c r="F20" s="517"/>
      <c r="G20" s="517"/>
      <c r="H20" s="93"/>
      <c r="AB20" s="61"/>
    </row>
    <row r="21" spans="1:28" ht="17.25" customHeight="1" x14ac:dyDescent="0.2">
      <c r="A21" s="93"/>
      <c r="B21" s="290"/>
      <c r="C21" s="290"/>
      <c r="D21" s="290"/>
      <c r="E21" s="290"/>
      <c r="F21" s="290"/>
      <c r="G21" s="290"/>
      <c r="H21" s="93"/>
      <c r="AB21" s="61"/>
    </row>
    <row r="22" spans="1:28" ht="17.25" customHeight="1" x14ac:dyDescent="0.25">
      <c r="A22" s="93"/>
      <c r="B22" s="518" t="s">
        <v>96</v>
      </c>
      <c r="C22" s="518"/>
      <c r="D22" s="518"/>
      <c r="E22" s="518"/>
      <c r="F22" s="518"/>
      <c r="G22" s="518"/>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18" t="s">
        <v>97</v>
      </c>
      <c r="C45" s="518"/>
      <c r="D45" s="518"/>
      <c r="E45" s="518"/>
      <c r="F45" s="518"/>
      <c r="G45" s="518"/>
      <c r="H45" s="93"/>
      <c r="AB45" s="61"/>
    </row>
    <row r="46" spans="1:28" ht="30" customHeight="1" x14ac:dyDescent="0.2">
      <c r="A46" s="93"/>
      <c r="B46" s="517" t="s">
        <v>98</v>
      </c>
      <c r="C46" s="517"/>
      <c r="D46" s="517"/>
      <c r="E46" s="517"/>
      <c r="F46" s="517"/>
      <c r="G46" s="517"/>
      <c r="H46" s="93"/>
      <c r="AB46" s="61"/>
    </row>
    <row r="47" spans="1:28" x14ac:dyDescent="0.2">
      <c r="A47" s="93"/>
      <c r="B47" s="93"/>
      <c r="C47" s="93"/>
      <c r="D47" s="93"/>
      <c r="E47" s="93"/>
      <c r="F47" s="93"/>
      <c r="G47" s="93"/>
      <c r="H47" s="93"/>
      <c r="AB47" s="61"/>
    </row>
    <row r="48" spans="1:28" ht="15" x14ac:dyDescent="0.25">
      <c r="A48" s="112"/>
      <c r="B48" s="526" t="s">
        <v>99</v>
      </c>
      <c r="C48" s="526"/>
      <c r="D48" s="526"/>
      <c r="E48" s="526"/>
      <c r="F48" s="526"/>
      <c r="G48" s="526"/>
      <c r="H48" s="112"/>
      <c r="AB48" s="61"/>
    </row>
    <row r="49" spans="1:28" ht="45" customHeight="1" x14ac:dyDescent="0.2">
      <c r="A49" s="113"/>
      <c r="B49" s="527" t="s">
        <v>100</v>
      </c>
      <c r="C49" s="527"/>
      <c r="D49" s="527"/>
      <c r="E49" s="527"/>
      <c r="F49" s="527"/>
      <c r="G49" s="527"/>
      <c r="H49" s="114"/>
      <c r="AB49" s="61"/>
    </row>
    <row r="50" spans="1:28" ht="15" customHeight="1" x14ac:dyDescent="0.2">
      <c r="A50" s="115"/>
      <c r="B50" s="527" t="s">
        <v>101</v>
      </c>
      <c r="C50" s="527"/>
      <c r="D50" s="527"/>
      <c r="E50" s="527"/>
      <c r="F50" s="527"/>
      <c r="G50" s="527"/>
      <c r="H50" s="93"/>
      <c r="AB50" s="61"/>
    </row>
    <row r="51" spans="1:28" ht="15" x14ac:dyDescent="0.25">
      <c r="A51" s="112"/>
      <c r="B51" s="526" t="s">
        <v>102</v>
      </c>
      <c r="C51" s="526"/>
      <c r="D51" s="526"/>
      <c r="E51" s="526"/>
      <c r="F51" s="526"/>
      <c r="G51" s="526"/>
      <c r="H51" s="112"/>
      <c r="AB51" s="61"/>
    </row>
    <row r="52" spans="1:28" ht="15" x14ac:dyDescent="0.25">
      <c r="A52" s="112"/>
      <c r="B52" s="526" t="s">
        <v>103</v>
      </c>
      <c r="C52" s="526"/>
      <c r="D52" s="526"/>
      <c r="E52" s="526"/>
      <c r="F52" s="526"/>
      <c r="G52" s="526"/>
      <c r="H52" s="112"/>
      <c r="AB52" s="61"/>
    </row>
    <row r="53" spans="1:28" ht="75" customHeight="1" x14ac:dyDescent="0.2">
      <c r="A53" s="113"/>
      <c r="B53" s="527" t="s">
        <v>104</v>
      </c>
      <c r="C53" s="527"/>
      <c r="D53" s="527"/>
      <c r="E53" s="527"/>
      <c r="F53" s="527"/>
      <c r="G53" s="527"/>
      <c r="H53" s="114"/>
      <c r="AB53" s="61"/>
    </row>
    <row r="54" spans="1:28" ht="15" customHeight="1" x14ac:dyDescent="0.2">
      <c r="A54" s="115"/>
      <c r="B54" s="527" t="s">
        <v>105</v>
      </c>
      <c r="C54" s="527"/>
      <c r="D54" s="527"/>
      <c r="E54" s="527"/>
      <c r="F54" s="527"/>
      <c r="G54" s="527"/>
      <c r="H54" s="93"/>
      <c r="AB54" s="61"/>
    </row>
    <row r="55" spans="1:28" ht="15" x14ac:dyDescent="0.25">
      <c r="A55" s="112"/>
      <c r="B55" s="526" t="s">
        <v>106</v>
      </c>
      <c r="C55" s="526"/>
      <c r="D55" s="526"/>
      <c r="E55" s="526"/>
      <c r="F55" s="526"/>
      <c r="G55" s="526"/>
      <c r="H55" s="112"/>
      <c r="AB55" s="61"/>
    </row>
    <row r="56" spans="1:28" ht="75" customHeight="1" x14ac:dyDescent="0.2">
      <c r="A56" s="113"/>
      <c r="B56" s="527" t="s">
        <v>107</v>
      </c>
      <c r="C56" s="527"/>
      <c r="D56" s="527"/>
      <c r="E56" s="527"/>
      <c r="F56" s="527"/>
      <c r="G56" s="527"/>
      <c r="H56" s="114"/>
      <c r="AB56" s="61"/>
    </row>
    <row r="57" spans="1:28" ht="15" customHeight="1" x14ac:dyDescent="0.2">
      <c r="A57" s="115"/>
      <c r="B57" s="527" t="s">
        <v>108</v>
      </c>
      <c r="C57" s="527"/>
      <c r="D57" s="527"/>
      <c r="E57" s="527"/>
      <c r="F57" s="527"/>
      <c r="G57" s="527"/>
      <c r="H57" s="93"/>
      <c r="AB57" s="61"/>
    </row>
    <row r="58" spans="1:28" ht="15" x14ac:dyDescent="0.25">
      <c r="A58" s="112"/>
      <c r="B58" s="526" t="s">
        <v>109</v>
      </c>
      <c r="C58" s="526"/>
      <c r="D58" s="526"/>
      <c r="E58" s="526"/>
      <c r="F58" s="526"/>
      <c r="G58" s="526"/>
      <c r="H58" s="112"/>
      <c r="AB58" s="61"/>
    </row>
    <row r="59" spans="1:28" ht="90" customHeight="1" x14ac:dyDescent="0.2">
      <c r="A59" s="113"/>
      <c r="B59" s="527" t="s">
        <v>110</v>
      </c>
      <c r="C59" s="527"/>
      <c r="D59" s="527"/>
      <c r="E59" s="527"/>
      <c r="F59" s="527"/>
      <c r="G59" s="527"/>
      <c r="H59" s="114"/>
      <c r="AB59" s="61"/>
    </row>
    <row r="60" spans="1:28" ht="15" customHeight="1" x14ac:dyDescent="0.2">
      <c r="A60" s="115"/>
      <c r="B60" s="527" t="s">
        <v>111</v>
      </c>
      <c r="C60" s="527"/>
      <c r="D60" s="527"/>
      <c r="E60" s="527"/>
      <c r="F60" s="527"/>
      <c r="G60" s="527"/>
      <c r="H60" s="93"/>
      <c r="AB60" s="61"/>
    </row>
    <row r="61" spans="1:28" ht="15" x14ac:dyDescent="0.25">
      <c r="A61" s="112"/>
      <c r="B61" s="526" t="s">
        <v>112</v>
      </c>
      <c r="C61" s="526"/>
      <c r="D61" s="526"/>
      <c r="E61" s="526"/>
      <c r="F61" s="526"/>
      <c r="G61" s="526"/>
      <c r="H61" s="112"/>
      <c r="AB61" s="61"/>
    </row>
    <row r="62" spans="1:28" ht="45" customHeight="1" x14ac:dyDescent="0.2">
      <c r="A62" s="113"/>
      <c r="B62" s="527" t="s">
        <v>113</v>
      </c>
      <c r="C62" s="527"/>
      <c r="D62" s="527"/>
      <c r="E62" s="527"/>
      <c r="F62" s="527"/>
      <c r="G62" s="527"/>
      <c r="H62" s="114"/>
      <c r="AB62" s="61"/>
    </row>
    <row r="63" spans="1:28" ht="15" customHeight="1" x14ac:dyDescent="0.2">
      <c r="A63" s="115"/>
      <c r="B63" s="527" t="s">
        <v>114</v>
      </c>
      <c r="C63" s="527"/>
      <c r="D63" s="527"/>
      <c r="E63" s="527"/>
      <c r="F63" s="527"/>
      <c r="G63" s="527"/>
      <c r="H63" s="93"/>
    </row>
    <row r="64" spans="1:28" ht="15" x14ac:dyDescent="0.25">
      <c r="A64" s="112"/>
      <c r="B64" s="526" t="s">
        <v>115</v>
      </c>
      <c r="C64" s="526"/>
      <c r="D64" s="526"/>
      <c r="E64" s="526"/>
      <c r="F64" s="526"/>
      <c r="G64" s="526"/>
      <c r="H64" s="112"/>
    </row>
    <row r="65" spans="1:8" ht="105" customHeight="1" x14ac:dyDescent="0.2">
      <c r="A65" s="113"/>
      <c r="B65" s="527" t="s">
        <v>116</v>
      </c>
      <c r="C65" s="527"/>
      <c r="D65" s="527"/>
      <c r="E65" s="527"/>
      <c r="F65" s="527"/>
      <c r="G65" s="527"/>
      <c r="H65" s="114"/>
    </row>
    <row r="66" spans="1:8" ht="30" customHeight="1" x14ac:dyDescent="0.2">
      <c r="A66" s="116"/>
      <c r="B66" s="527" t="s">
        <v>117</v>
      </c>
      <c r="C66" s="527"/>
      <c r="D66" s="527"/>
      <c r="E66" s="527"/>
      <c r="F66" s="527"/>
      <c r="G66" s="527"/>
      <c r="H66" s="117"/>
    </row>
    <row r="67" spans="1:8" ht="15" x14ac:dyDescent="0.25">
      <c r="A67" s="112"/>
      <c r="B67" s="526" t="s">
        <v>118</v>
      </c>
      <c r="C67" s="526"/>
      <c r="D67" s="526"/>
      <c r="E67" s="526"/>
      <c r="F67" s="526"/>
      <c r="G67" s="526"/>
      <c r="H67" s="112"/>
    </row>
    <row r="68" spans="1:8" ht="60" customHeight="1" x14ac:dyDescent="0.2">
      <c r="A68" s="113"/>
      <c r="B68" s="527" t="s">
        <v>119</v>
      </c>
      <c r="C68" s="527"/>
      <c r="D68" s="527"/>
      <c r="E68" s="527"/>
      <c r="F68" s="527"/>
      <c r="G68" s="527"/>
      <c r="H68" s="114"/>
    </row>
    <row r="69" spans="1:8" ht="15" customHeight="1" x14ac:dyDescent="0.2">
      <c r="A69" s="113"/>
      <c r="B69" s="527" t="s">
        <v>120</v>
      </c>
      <c r="C69" s="527"/>
      <c r="D69" s="527"/>
      <c r="E69" s="527"/>
      <c r="F69" s="527"/>
      <c r="G69" s="527"/>
      <c r="H69" s="114"/>
    </row>
    <row r="70" spans="1:8" x14ac:dyDescent="0.2">
      <c r="A70" s="115"/>
      <c r="B70" s="528"/>
      <c r="C70" s="528"/>
      <c r="D70" s="528"/>
      <c r="E70" s="528"/>
      <c r="F70" s="528"/>
      <c r="G70" s="528"/>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B68:G68"/>
    <mergeCell ref="B70:G70"/>
    <mergeCell ref="B66:G66"/>
    <mergeCell ref="B63:G63"/>
    <mergeCell ref="B60:G60"/>
    <mergeCell ref="B69:G69"/>
    <mergeCell ref="B64:G64"/>
    <mergeCell ref="B67:G67"/>
    <mergeCell ref="B65:G65"/>
    <mergeCell ref="B59:G59"/>
    <mergeCell ref="B62:G62"/>
    <mergeCell ref="B57:G57"/>
    <mergeCell ref="B54:G54"/>
    <mergeCell ref="B50:G50"/>
    <mergeCell ref="B61:G61"/>
    <mergeCell ref="B48:G48"/>
    <mergeCell ref="B51:G51"/>
    <mergeCell ref="B52:G52"/>
    <mergeCell ref="B55:G55"/>
    <mergeCell ref="B58:G58"/>
    <mergeCell ref="B49:G49"/>
    <mergeCell ref="B53:G53"/>
    <mergeCell ref="B56:G56"/>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topLeftCell="A3" zoomScale="150" zoomScaleNormal="150" workbookViewId="0">
      <selection activeCell="AC14" sqref="AC14"/>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hidden="1" customWidth="1"/>
    <col min="11" max="21" width="11.140625" style="62" hidden="1" customWidth="1"/>
    <col min="22" max="22" width="13.42578125" style="62" hidden="1" customWidth="1"/>
    <col min="23" max="24" width="11.140625" style="62" hidden="1" customWidth="1"/>
    <col min="25"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34" t="s">
        <v>466</v>
      </c>
      <c r="D2" s="534"/>
      <c r="E2" s="534"/>
      <c r="F2" s="534"/>
      <c r="G2" s="31"/>
      <c r="H2" s="530" t="s">
        <v>454</v>
      </c>
      <c r="I2" s="530"/>
      <c r="J2" s="530"/>
      <c r="K2" s="530"/>
      <c r="L2" s="530"/>
      <c r="M2" s="530"/>
      <c r="N2" s="530"/>
      <c r="O2" s="530"/>
      <c r="P2" s="530"/>
      <c r="Q2" s="530"/>
      <c r="R2" s="530"/>
      <c r="S2" s="530"/>
      <c r="T2" s="530"/>
      <c r="U2" s="530"/>
      <c r="V2" s="530"/>
      <c r="W2" s="530"/>
      <c r="X2" s="530"/>
      <c r="Y2" s="530"/>
      <c r="Z2" s="530"/>
      <c r="AA2" s="530"/>
      <c r="AB2" s="530"/>
      <c r="AC2" s="530"/>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31" t="s">
        <v>468</v>
      </c>
      <c r="I4" s="531"/>
      <c r="J4" s="531"/>
      <c r="K4" s="531"/>
      <c r="L4" s="531"/>
      <c r="M4" s="531"/>
      <c r="N4" s="531"/>
      <c r="O4" s="531"/>
      <c r="P4" s="531"/>
      <c r="Q4" s="531"/>
      <c r="R4" s="531"/>
      <c r="S4" s="531"/>
      <c r="T4" s="531"/>
      <c r="U4" s="531"/>
      <c r="V4" s="531"/>
      <c r="W4" s="531"/>
      <c r="X4" s="531"/>
      <c r="Y4" s="531"/>
      <c r="Z4" s="531"/>
      <c r="AA4" s="531"/>
      <c r="AB4" s="531"/>
      <c r="AC4" s="531"/>
      <c r="AD4" s="95"/>
      <c r="AE4" s="95"/>
      <c r="AF4" s="95"/>
      <c r="AG4" s="95"/>
      <c r="AH4" s="95"/>
      <c r="AI4" s="95"/>
      <c r="AK4" s="31"/>
    </row>
    <row r="5" spans="1:37" ht="14.25" x14ac:dyDescent="0.2">
      <c r="A5" s="88"/>
      <c r="B5" s="292"/>
      <c r="C5" s="535" t="s">
        <v>467</v>
      </c>
      <c r="D5" s="535"/>
      <c r="E5" s="535"/>
      <c r="F5" s="536"/>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35"/>
      <c r="D6" s="535"/>
      <c r="E6" s="535"/>
      <c r="F6" s="536"/>
      <c r="G6" s="93"/>
      <c r="H6" s="135"/>
      <c r="I6" s="135"/>
      <c r="J6" s="135"/>
      <c r="K6" s="135"/>
      <c r="L6" s="135"/>
      <c r="M6" s="135"/>
      <c r="N6" s="135"/>
      <c r="O6" s="135"/>
      <c r="P6" s="135"/>
      <c r="Q6" s="135"/>
      <c r="R6" s="135"/>
      <c r="S6" s="135"/>
      <c r="T6" s="136"/>
      <c r="U6" s="532" t="s">
        <v>121</v>
      </c>
      <c r="V6" s="532"/>
      <c r="W6" s="532"/>
      <c r="X6" s="532"/>
      <c r="Y6" s="532"/>
      <c r="Z6" s="405"/>
      <c r="AA6" s="533" t="s">
        <v>7</v>
      </c>
      <c r="AB6" s="533"/>
      <c r="AC6" s="533"/>
      <c r="AD6" s="96"/>
      <c r="AE6" s="96"/>
      <c r="AG6" s="97"/>
      <c r="AH6" s="97"/>
      <c r="AI6" s="97"/>
      <c r="AK6" s="31"/>
    </row>
    <row r="7" spans="1:37" ht="15" customHeight="1" x14ac:dyDescent="0.2">
      <c r="A7" s="88"/>
      <c r="B7" s="292"/>
      <c r="C7" s="535"/>
      <c r="D7" s="535"/>
      <c r="E7" s="535"/>
      <c r="F7" s="536"/>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438</v>
      </c>
      <c r="B8" s="293"/>
      <c r="C8" s="535"/>
      <c r="D8" s="535"/>
      <c r="E8" s="535"/>
      <c r="F8" s="536"/>
      <c r="G8" s="93"/>
      <c r="H8" s="415" t="s">
        <v>123</v>
      </c>
      <c r="I8" s="416" t="e" cm="1">
        <f t="array" ref="I8">_xlfn.XLOOKUP(1, ('0. GUIDELINES'!$E$3='[1]input-mpo'!$A:$A) * (I$7='[1]input-mpo'!$B:$B) * ($A8='[1]input-mpo'!$C:$C), '[1]input-mpo'!$D:$D)</f>
        <v>#N/A</v>
      </c>
      <c r="J8" s="416" cm="1">
        <f t="array" ref="J8">_xlfn.XLOOKUP(1, ('0. GUIDELINES'!$E$3='[1]input-mpo'!$A:$A) * (J$7='[1]input-mpo'!$B:$B) * ($A8='[1]input-mpo'!$C:$C), '[1]input-mpo'!$D:$D)</f>
        <v>12132113</v>
      </c>
      <c r="K8" s="416" cm="1">
        <f t="array" ref="K8">_xlfn.XLOOKUP(1, ('0. GUIDELINES'!$E$3='[1]input-mpo'!$A:$A) * (K$7='[1]input-mpo'!$B:$B) * ($A8='[1]input-mpo'!$C:$C), '[1]input-mpo'!$D:$D)</f>
        <v>12861713</v>
      </c>
      <c r="L8" s="416" cm="1">
        <f t="array" ref="L8">_xlfn.XLOOKUP(1, ('0. GUIDELINES'!$E$3='[1]input-mpo'!$A:$A) * (L$7='[1]input-mpo'!$B:$B) * ($A8='[1]input-mpo'!$C:$C), '[1]input-mpo'!$D:$D)</f>
        <v>13510602</v>
      </c>
      <c r="M8" s="416" cm="1">
        <f t="array" ref="M8">_xlfn.XLOOKUP(1, ('0. GUIDELINES'!$E$3='[1]input-mpo'!$A:$A) * (M$7='[1]input-mpo'!$B:$B) * ($A8='[1]input-mpo'!$C:$C), '[1]input-mpo'!$D:$D)</f>
        <v>14263386</v>
      </c>
      <c r="N8" s="416" cm="1">
        <f t="array" ref="N8">_xlfn.XLOOKUP(1, ('0. GUIDELINES'!$E$3='[1]input-mpo'!$A:$A) * (N$7='[1]input-mpo'!$B:$B) * ($A8='[1]input-mpo'!$C:$C), '[1]input-mpo'!$D:$D)</f>
        <v>15185426</v>
      </c>
      <c r="O8" s="416" cm="1">
        <f t="array" ref="O8">_xlfn.XLOOKUP(1, ('0. GUIDELINES'!$E$3='[1]input-mpo'!$A:$A) * (O$7='[1]input-mpo'!$B:$B) * ($A8='[1]input-mpo'!$C:$C), '[1]input-mpo'!$D:$D)</f>
        <v>16175734</v>
      </c>
      <c r="P8" s="416" cm="1">
        <f t="array" ref="P8">_xlfn.XLOOKUP(1, ('0. GUIDELINES'!$E$3='[1]input-mpo'!$A:$A) * (P$7='[1]input-mpo'!$B:$B) * ($A8='[1]input-mpo'!$C:$C), '[1]input-mpo'!$D:$D)</f>
        <v>17148478</v>
      </c>
      <c r="Q8" s="416" cm="1">
        <f t="array" ref="Q8">_xlfn.XLOOKUP(1, ('0. GUIDELINES'!$E$3='[1]input-mpo'!$A:$A) * (Q$7='[1]input-mpo'!$B:$B) * ($A8='[1]input-mpo'!$C:$C), '[1]input-mpo'!$D:$D)</f>
        <v>18187862</v>
      </c>
      <c r="R8" s="416" cm="1">
        <f t="array" ref="R8">_xlfn.XLOOKUP(1, ('0. GUIDELINES'!$E$3='[1]input-mpo'!$A:$A) * (R$7='[1]input-mpo'!$B:$B) * ($A8='[1]input-mpo'!$C:$C), '[1]input-mpo'!$D:$D)</f>
        <v>19379648</v>
      </c>
      <c r="S8" s="416" cm="1">
        <f t="array" ref="S8">_xlfn.XLOOKUP(1, ('0. GUIDELINES'!$E$3='[1]input-mpo'!$A:$A) * (S$7='[1]input-mpo'!$B:$B) * ($A8='[1]input-mpo'!$C:$C), '[1]input-mpo'!$D:$D)</f>
        <v>20758214</v>
      </c>
      <c r="T8" s="416" cm="1">
        <f t="array" ref="T8">_xlfn.XLOOKUP(1, ('0. GUIDELINES'!$E$3='[1]input-mpo'!$A:$A) * (T$7='[1]input-mpo'!$B:$B) * ($A8='[1]input-mpo'!$C:$C), '[1]input-mpo'!$D:$D)</f>
        <v>22126230</v>
      </c>
      <c r="U8" s="416" cm="1">
        <f t="array" ref="U8">_xlfn.XLOOKUP(1, ('0. GUIDELINES'!$E$3='[1]input-mpo'!$A:$A) * (U$7='[1]input-mpo'!$B:$B) * ($A8='[1]input-mpo'!$C:$C), '[1]input-mpo'!$D:$D)</f>
        <v>23745740</v>
      </c>
      <c r="V8" s="416" cm="1">
        <f t="array" ref="V8">_xlfn.XLOOKUP(1, ('0. GUIDELINES'!$E$3='[1]input-mpo'!$A:$A) * (V$7='[1]input-mpo'!$B:$B) * ($A8='[1]input-mpo'!$C:$C), '[1]input-mpo'!$D:$D)</f>
        <v>25617356</v>
      </c>
      <c r="W8" s="416" cm="1">
        <f t="array" ref="W8">_xlfn.XLOOKUP(1, ('0. GUIDELINES'!$E$3='[1]input-mpo'!$A:$A) * (W$7='[1]input-mpo'!$B:$B) * ($A8='[1]input-mpo'!$C:$C), '[1]input-mpo'!$D:$D)</f>
        <v>26500650</v>
      </c>
      <c r="X8" s="416" cm="1">
        <f t="array" ref="X8">_xlfn.XLOOKUP(1, ('0. GUIDELINES'!$E$3='[1]input-mpo'!$A:$A) * (X$7='[1]input-mpo'!$B:$B) * ($A8='[1]input-mpo'!$C:$C), '[1]input-mpo'!$D:$D)</f>
        <v>28339444</v>
      </c>
      <c r="Y8" s="416" cm="1">
        <f t="array" ref="Y8">_xlfn.XLOOKUP(1, ('0. GUIDELINES'!$E$3='[1]input-mpo'!$A:$A) * (Y$7='[1]input-mpo'!$B:$B) * ($A8='[1]input-mpo'!$C:$C), '[1]input-mpo'!$D:$D)</f>
        <v>30351496</v>
      </c>
      <c r="Z8" s="417" cm="1">
        <f t="array" ref="Z8">_xlfn.XLOOKUP(1, ('0. GUIDELINES'!$E$3='[1]input-mpo'!$A:$A) * (Z$7='[1]input-mpo'!$B:$B) * ($A8='[1]input-mpo'!$C:$C), '[1]input-mpo'!$D:$D)</f>
        <v>32104328</v>
      </c>
      <c r="AA8" s="417" cm="1">
        <f t="array" ref="AA8">_xlfn.XLOOKUP(1, ('0. GUIDELINES'!$E$3='[1]input-mpo'!$A:$A) * (AA$7='[1]input-mpo'!$B:$B) * ($A8='[1]input-mpo'!$C:$C), '[1]input-mpo'!$D:$D)</f>
        <v>33915984</v>
      </c>
      <c r="AB8" s="417" cm="1">
        <f t="array" ref="AB8">_xlfn.XLOOKUP(1, ('0. GUIDELINES'!$E$3='[1]input-mpo'!$A:$A) * (AB$7='[1]input-mpo'!$B:$B) * ($A8='[1]input-mpo'!$C:$C), '[1]input-mpo'!$D:$D)</f>
        <v>35843096</v>
      </c>
      <c r="AC8" s="417" cm="1">
        <f t="array" ref="AC8">_xlfn.XLOOKUP(1, ('0. GUIDELINES'!$E$3='[1]input-mpo'!$A:$A) * (AC$7='[1]input-mpo'!$B:$B) * ($A8='[1]input-mpo'!$C:$C), '[1]input-mpo'!$D:$D)</f>
        <v>37965692</v>
      </c>
    </row>
    <row r="9" spans="1:37" ht="14.45" customHeight="1" x14ac:dyDescent="0.25">
      <c r="A9" s="89" t="s">
        <v>439</v>
      </c>
      <c r="B9" s="293"/>
      <c r="C9" s="535"/>
      <c r="D9" s="535"/>
      <c r="E9" s="535"/>
      <c r="F9" s="536"/>
      <c r="G9" s="93"/>
      <c r="H9" s="412" t="s">
        <v>29</v>
      </c>
      <c r="I9" s="413" t="e" cm="1">
        <f t="array" ref="I9">_xlfn.XLOOKUP(1, ('0. GUIDELINES'!$E$3='[1]input-mpo'!$A:$A) * (I$7='[1]input-mpo'!$B:$B) * ($A9='[1]input-mpo'!$C:$C), '[1]input-mpo'!$D:$D)</f>
        <v>#N/A</v>
      </c>
      <c r="J9" s="413" cm="1">
        <f t="array" ref="J9">_xlfn.XLOOKUP(1, ('0. GUIDELINES'!$E$3='[1]input-mpo'!$A:$A) * (J$7='[1]input-mpo'!$B:$B) * ($A9='[1]input-mpo'!$C:$C), '[1]input-mpo'!$D:$D)</f>
        <v>2174364.75</v>
      </c>
      <c r="K9" s="413" cm="1">
        <f t="array" ref="K9">_xlfn.XLOOKUP(1, ('0. GUIDELINES'!$E$3='[1]input-mpo'!$A:$A) * (K$7='[1]input-mpo'!$B:$B) * ($A9='[1]input-mpo'!$C:$C), '[1]input-mpo'!$D:$D)</f>
        <v>2272078</v>
      </c>
      <c r="L9" s="413" cm="1">
        <f t="array" ref="L9">_xlfn.XLOOKUP(1, ('0. GUIDELINES'!$E$3='[1]input-mpo'!$A:$A) * (L$7='[1]input-mpo'!$B:$B) * ($A9='[1]input-mpo'!$C:$C), '[1]input-mpo'!$D:$D)</f>
        <v>2350830.25</v>
      </c>
      <c r="M9" s="413" cm="1">
        <f t="array" ref="M9">_xlfn.XLOOKUP(1, ('0. GUIDELINES'!$E$3='[1]input-mpo'!$A:$A) * (M$7='[1]input-mpo'!$B:$B) * ($A9='[1]input-mpo'!$C:$C), '[1]input-mpo'!$D:$D)</f>
        <v>2495452</v>
      </c>
      <c r="N9" s="413" cm="1">
        <f t="array" ref="N9">_xlfn.XLOOKUP(1, ('0. GUIDELINES'!$E$3='[1]input-mpo'!$A:$A) * (N$7='[1]input-mpo'!$B:$B) * ($A9='[1]input-mpo'!$C:$C), '[1]input-mpo'!$D:$D)</f>
        <v>2606658.5</v>
      </c>
      <c r="O9" s="413" cm="1">
        <f t="array" ref="O9">_xlfn.XLOOKUP(1, ('0. GUIDELINES'!$E$3='[1]input-mpo'!$A:$A) * (O$7='[1]input-mpo'!$B:$B) * ($A9='[1]input-mpo'!$C:$C), '[1]input-mpo'!$D:$D)</f>
        <v>2685230.25</v>
      </c>
      <c r="P9" s="413" cm="1">
        <f t="array" ref="P9">_xlfn.XLOOKUP(1, ('0. GUIDELINES'!$E$3='[1]input-mpo'!$A:$A) * (P$7='[1]input-mpo'!$B:$B) * ($A9='[1]input-mpo'!$C:$C), '[1]input-mpo'!$D:$D)</f>
        <v>2751418.25</v>
      </c>
      <c r="Q9" s="413" cm="1">
        <f t="array" ref="Q9">_xlfn.XLOOKUP(1, ('0. GUIDELINES'!$E$3='[1]input-mpo'!$A:$A) * (Q$7='[1]input-mpo'!$B:$B) * ($A9='[1]input-mpo'!$C:$C), '[1]input-mpo'!$D:$D)</f>
        <v>2871706.5</v>
      </c>
      <c r="R9" s="413" cm="1">
        <f t="array" ref="R9">_xlfn.XLOOKUP(1, ('0. GUIDELINES'!$E$3='[1]input-mpo'!$A:$A) * (R$7='[1]input-mpo'!$B:$B) * ($A9='[1]input-mpo'!$C:$C), '[1]input-mpo'!$D:$D)</f>
        <v>2967288</v>
      </c>
      <c r="S9" s="413" cm="1">
        <f t="array" ref="S9">_xlfn.XLOOKUP(1, ('0. GUIDELINES'!$E$3='[1]input-mpo'!$A:$A) * (S$7='[1]input-mpo'!$B:$B) * ($A9='[1]input-mpo'!$C:$C), '[1]input-mpo'!$D:$D)</f>
        <v>2795050</v>
      </c>
      <c r="T9" s="413" cm="1">
        <f t="array" ref="T9">_xlfn.XLOOKUP(1, ('0. GUIDELINES'!$E$3='[1]input-mpo'!$A:$A) * (T$7='[1]input-mpo'!$B:$B) * ($A9='[1]input-mpo'!$C:$C), '[1]input-mpo'!$D:$D)</f>
        <v>2884380</v>
      </c>
      <c r="U9" s="413" cm="1">
        <f t="array" ref="U9">_xlfn.XLOOKUP(1, ('0. GUIDELINES'!$E$3='[1]input-mpo'!$A:$A) * (U$7='[1]input-mpo'!$B:$B) * ($A9='[1]input-mpo'!$C:$C), '[1]input-mpo'!$D:$D)</f>
        <v>2986618</v>
      </c>
      <c r="V9" s="413" cm="1">
        <f t="array" ref="V9">_xlfn.XLOOKUP(1, ('0. GUIDELINES'!$E$3='[1]input-mpo'!$A:$A) * (V$7='[1]input-mpo'!$B:$B) * ($A9='[1]input-mpo'!$C:$C), '[1]input-mpo'!$D:$D)</f>
        <v>3083999</v>
      </c>
      <c r="W9" s="413" cm="1">
        <f t="array" ref="W9">_xlfn.XLOOKUP(1, ('0. GUIDELINES'!$E$3='[1]input-mpo'!$A:$A) * (W$7='[1]input-mpo'!$B:$B) * ($A9='[1]input-mpo'!$C:$C), '[1]input-mpo'!$D:$D)</f>
        <v>3189501</v>
      </c>
      <c r="X9" s="413" cm="1">
        <f t="array" ref="X9">_xlfn.XLOOKUP(1, ('0. GUIDELINES'!$E$3='[1]input-mpo'!$A:$A) * (X$7='[1]input-mpo'!$B:$B) * ($A9='[1]input-mpo'!$C:$C), '[1]input-mpo'!$D:$D)</f>
        <v>3290753</v>
      </c>
      <c r="Y9" s="413" cm="1">
        <f t="array" ref="Y9">_xlfn.XLOOKUP(1, ('0. GUIDELINES'!$E$3='[1]input-mpo'!$A:$A) * (Y$7='[1]input-mpo'!$B:$B) * ($A9='[1]input-mpo'!$C:$C), '[1]input-mpo'!$D:$D)</f>
        <v>3391252</v>
      </c>
      <c r="Z9" s="414" cm="1">
        <f t="array" ref="Z9">_xlfn.XLOOKUP(1, ('0. GUIDELINES'!$E$3='[1]input-mpo'!$A:$A) * (Z$7='[1]input-mpo'!$B:$B) * ($A9='[1]input-mpo'!$C:$C), '[1]input-mpo'!$D:$D)</f>
        <v>3505586</v>
      </c>
      <c r="AA9" s="414" cm="1">
        <f t="array" ref="AA9">_xlfn.XLOOKUP(1, ('0. GUIDELINES'!$E$3='[1]input-mpo'!$A:$A) * (AA$7='[1]input-mpo'!$B:$B) * ($A9='[1]input-mpo'!$C:$C), '[1]input-mpo'!$D:$D)</f>
        <v>3614259.25</v>
      </c>
      <c r="AB9" s="414" cm="1">
        <f t="array" ref="AB9">_xlfn.XLOOKUP(1, ('0. GUIDELINES'!$E$3='[1]input-mpo'!$A:$A) * (AB$7='[1]input-mpo'!$B:$B) * ($A9='[1]input-mpo'!$C:$C), '[1]input-mpo'!$D:$D)</f>
        <v>3726301.25</v>
      </c>
      <c r="AC9" s="414" cm="1">
        <f t="array" ref="AC9">_xlfn.XLOOKUP(1, ('0. GUIDELINES'!$E$3='[1]input-mpo'!$A:$A) * (AC$7='[1]input-mpo'!$B:$B) * ($A9='[1]input-mpo'!$C:$C), '[1]input-mpo'!$D:$D)</f>
        <v>3845542.75</v>
      </c>
    </row>
    <row r="10" spans="1:37" ht="14.45" customHeight="1" x14ac:dyDescent="0.25">
      <c r="A10" s="89" t="s">
        <v>440</v>
      </c>
      <c r="B10" s="293"/>
      <c r="C10" s="93"/>
      <c r="D10" s="93"/>
      <c r="E10" s="93"/>
      <c r="F10" s="93"/>
      <c r="G10" s="93"/>
      <c r="H10" s="412" t="s">
        <v>31</v>
      </c>
      <c r="I10" s="413" t="e" cm="1">
        <f t="array" ref="I10">_xlfn.XLOOKUP(1, ('0. GUIDELINES'!$E$3='[1]input-mpo'!$A:$A) * (I$7='[1]input-mpo'!$B:$B) * ($A10='[1]input-mpo'!$C:$C), '[1]input-mpo'!$D:$D)</f>
        <v>#N/A</v>
      </c>
      <c r="J10" s="413" cm="1">
        <f t="array" ref="J10">_xlfn.XLOOKUP(1, ('0. GUIDELINES'!$E$3='[1]input-mpo'!$A:$A) * (J$7='[1]input-mpo'!$B:$B) * ($A10='[1]input-mpo'!$C:$C), '[1]input-mpo'!$D:$D)</f>
        <v>2968767.25</v>
      </c>
      <c r="K10" s="413" cm="1">
        <f t="array" ref="K10">_xlfn.XLOOKUP(1, ('0. GUIDELINES'!$E$3='[1]input-mpo'!$A:$A) * (K$7='[1]input-mpo'!$B:$B) * ($A10='[1]input-mpo'!$C:$C), '[1]input-mpo'!$D:$D)</f>
        <v>3177576.5</v>
      </c>
      <c r="L10" s="413" cm="1">
        <f t="array" ref="L10">_xlfn.XLOOKUP(1, ('0. GUIDELINES'!$E$3='[1]input-mpo'!$A:$A) * (L$7='[1]input-mpo'!$B:$B) * ($A10='[1]input-mpo'!$C:$C), '[1]input-mpo'!$D:$D)</f>
        <v>3397247.75</v>
      </c>
      <c r="M10" s="413" cm="1">
        <f t="array" ref="M10">_xlfn.XLOOKUP(1, ('0. GUIDELINES'!$E$3='[1]input-mpo'!$A:$A) * (M$7='[1]input-mpo'!$B:$B) * ($A10='[1]input-mpo'!$C:$C), '[1]input-mpo'!$D:$D)</f>
        <v>3636149.25</v>
      </c>
      <c r="N10" s="413" cm="1">
        <f t="array" ref="N10">_xlfn.XLOOKUP(1, ('0. GUIDELINES'!$E$3='[1]input-mpo'!$A:$A) * (N$7='[1]input-mpo'!$B:$B) * ($A10='[1]input-mpo'!$C:$C), '[1]input-mpo'!$D:$D)</f>
        <v>3964098.25</v>
      </c>
      <c r="O10" s="413" cm="1">
        <f t="array" ref="O10">_xlfn.XLOOKUP(1, ('0. GUIDELINES'!$E$3='[1]input-mpo'!$A:$A) * (O$7='[1]input-mpo'!$B:$B) * ($A10='[1]input-mpo'!$C:$C), '[1]input-mpo'!$D:$D)</f>
        <v>4338134.5</v>
      </c>
      <c r="P10" s="413" cm="1">
        <f t="array" ref="P10">_xlfn.XLOOKUP(1, ('0. GUIDELINES'!$E$3='[1]input-mpo'!$A:$A) * (P$7='[1]input-mpo'!$B:$B) * ($A10='[1]input-mpo'!$C:$C), '[1]input-mpo'!$D:$D)</f>
        <v>4756303</v>
      </c>
      <c r="Q10" s="413" cm="1">
        <f t="array" ref="Q10">_xlfn.XLOOKUP(1, ('0. GUIDELINES'!$E$3='[1]input-mpo'!$A:$A) * (Q$7='[1]input-mpo'!$B:$B) * ($A10='[1]input-mpo'!$C:$C), '[1]input-mpo'!$D:$D)</f>
        <v>5144418</v>
      </c>
      <c r="R10" s="413" cm="1">
        <f t="array" ref="R10">_xlfn.XLOOKUP(1, ('0. GUIDELINES'!$E$3='[1]input-mpo'!$A:$A) * (R$7='[1]input-mpo'!$B:$B) * ($A10='[1]input-mpo'!$C:$C), '[1]input-mpo'!$D:$D)</f>
        <v>5641724</v>
      </c>
      <c r="S10" s="413" cm="1">
        <f t="array" ref="S10">_xlfn.XLOOKUP(1, ('0. GUIDELINES'!$E$3='[1]input-mpo'!$A:$A) * (S$7='[1]input-mpo'!$B:$B) * ($A10='[1]input-mpo'!$C:$C), '[1]input-mpo'!$D:$D)</f>
        <v>6449400</v>
      </c>
      <c r="T10" s="413" cm="1">
        <f t="array" ref="T10">_xlfn.XLOOKUP(1, ('0. GUIDELINES'!$E$3='[1]input-mpo'!$A:$A) * (T$7='[1]input-mpo'!$B:$B) * ($A10='[1]input-mpo'!$C:$C), '[1]input-mpo'!$D:$D)</f>
        <v>6982905</v>
      </c>
      <c r="U10" s="413" cm="1">
        <f t="array" ref="U10">_xlfn.XLOOKUP(1, ('0. GUIDELINES'!$E$3='[1]input-mpo'!$A:$A) * (U$7='[1]input-mpo'!$B:$B) * ($A10='[1]input-mpo'!$C:$C), '[1]input-mpo'!$D:$D)</f>
        <v>7694869</v>
      </c>
      <c r="V10" s="413" cm="1">
        <f t="array" ref="V10">_xlfn.XLOOKUP(1, ('0. GUIDELINES'!$E$3='[1]input-mpo'!$A:$A) * (V$7='[1]input-mpo'!$B:$B) * ($A10='[1]input-mpo'!$C:$C), '[1]input-mpo'!$D:$D)</f>
        <v>8590038</v>
      </c>
      <c r="W10" s="413" cm="1">
        <f t="array" ref="W10">_xlfn.XLOOKUP(1, ('0. GUIDELINES'!$E$3='[1]input-mpo'!$A:$A) * (W$7='[1]input-mpo'!$B:$B) * ($A10='[1]input-mpo'!$C:$C), '[1]input-mpo'!$D:$D)</f>
        <v>8900232</v>
      </c>
      <c r="X10" s="413" cm="1">
        <f t="array" ref="X10">_xlfn.XLOOKUP(1, ('0. GUIDELINES'!$E$3='[1]input-mpo'!$A:$A) * (X$7='[1]input-mpo'!$B:$B) * ($A10='[1]input-mpo'!$C:$C), '[1]input-mpo'!$D:$D)</f>
        <v>9815808</v>
      </c>
      <c r="Y10" s="413" cm="1">
        <f t="array" ref="Y10">_xlfn.XLOOKUP(1, ('0. GUIDELINES'!$E$3='[1]input-mpo'!$A:$A) * (Y$7='[1]input-mpo'!$B:$B) * ($A10='[1]input-mpo'!$C:$C), '[1]input-mpo'!$D:$D)</f>
        <v>10783223</v>
      </c>
      <c r="Z10" s="414" cm="1">
        <f t="array" ref="Z10">_xlfn.XLOOKUP(1, ('0. GUIDELINES'!$E$3='[1]input-mpo'!$A:$A) * (Z$7='[1]input-mpo'!$B:$B) * ($A10='[1]input-mpo'!$C:$C), '[1]input-mpo'!$D:$D)</f>
        <v>11685491</v>
      </c>
      <c r="AA10" s="414" cm="1">
        <f t="array" ref="AA10">_xlfn.XLOOKUP(1, ('0. GUIDELINES'!$E$3='[1]input-mpo'!$A:$A) * (AA$7='[1]input-mpo'!$B:$B) * ($A10='[1]input-mpo'!$C:$C), '[1]input-mpo'!$D:$D)</f>
        <v>12456733</v>
      </c>
      <c r="AB10" s="414" cm="1">
        <f t="array" ref="AB10">_xlfn.XLOOKUP(1, ('0. GUIDELINES'!$E$3='[1]input-mpo'!$A:$A) * (AB$7='[1]input-mpo'!$B:$B) * ($A10='[1]input-mpo'!$C:$C), '[1]input-mpo'!$D:$D)</f>
        <v>13353618</v>
      </c>
      <c r="AC10" s="414" cm="1">
        <f t="array" ref="AC10">_xlfn.XLOOKUP(1, ('0. GUIDELINES'!$E$3='[1]input-mpo'!$A:$A) * (AC$7='[1]input-mpo'!$B:$B) * ($A10='[1]input-mpo'!$C:$C), '[1]input-mpo'!$D:$D)</f>
        <v>14261664</v>
      </c>
    </row>
    <row r="11" spans="1:37" ht="14.45" customHeight="1" x14ac:dyDescent="0.25">
      <c r="A11" s="89" t="s">
        <v>441</v>
      </c>
      <c r="B11" s="293"/>
      <c r="C11" s="93"/>
      <c r="D11" s="93"/>
      <c r="E11" s="93"/>
      <c r="F11" s="93"/>
      <c r="G11" s="93"/>
      <c r="H11" s="412" t="s">
        <v>33</v>
      </c>
      <c r="I11" s="413" t="e" cm="1">
        <f t="array" ref="I11">_xlfn.XLOOKUP(1, ('0. GUIDELINES'!$E$3='[1]input-mpo'!$A:$A) * (I$7='[1]input-mpo'!$B:$B) * ($A11='[1]input-mpo'!$C:$C), '[1]input-mpo'!$D:$D)</f>
        <v>#N/A</v>
      </c>
      <c r="J11" s="413" cm="1">
        <f t="array" ref="J11">_xlfn.XLOOKUP(1, ('0. GUIDELINES'!$E$3='[1]input-mpo'!$A:$A) * (J$7='[1]input-mpo'!$B:$B) * ($A11='[1]input-mpo'!$C:$C), '[1]input-mpo'!$D:$D)</f>
        <v>6347065</v>
      </c>
      <c r="K11" s="413" cm="1">
        <f t="array" ref="K11">_xlfn.XLOOKUP(1, ('0. GUIDELINES'!$E$3='[1]input-mpo'!$A:$A) * (K$7='[1]input-mpo'!$B:$B) * ($A11='[1]input-mpo'!$C:$C), '[1]input-mpo'!$D:$D)</f>
        <v>6712807.5</v>
      </c>
      <c r="L11" s="413" cm="1">
        <f t="array" ref="L11">_xlfn.XLOOKUP(1, ('0. GUIDELINES'!$E$3='[1]input-mpo'!$A:$A) * (L$7='[1]input-mpo'!$B:$B) * ($A11='[1]input-mpo'!$C:$C), '[1]input-mpo'!$D:$D)</f>
        <v>7053816</v>
      </c>
      <c r="M11" s="413" cm="1">
        <f t="array" ref="M11">_xlfn.XLOOKUP(1, ('0. GUIDELINES'!$E$3='[1]input-mpo'!$A:$A) * (M$7='[1]input-mpo'!$B:$B) * ($A11='[1]input-mpo'!$C:$C), '[1]input-mpo'!$D:$D)</f>
        <v>7443809.5</v>
      </c>
      <c r="N11" s="413" cm="1">
        <f t="array" ref="N11">_xlfn.XLOOKUP(1, ('0. GUIDELINES'!$E$3='[1]input-mpo'!$A:$A) * (N$7='[1]input-mpo'!$B:$B) * ($A11='[1]input-mpo'!$C:$C), '[1]input-mpo'!$D:$D)</f>
        <v>7906563</v>
      </c>
      <c r="O11" s="413" cm="1">
        <f t="array" ref="O11">_xlfn.XLOOKUP(1, ('0. GUIDELINES'!$E$3='[1]input-mpo'!$A:$A) * (O$7='[1]input-mpo'!$B:$B) * ($A11='[1]input-mpo'!$C:$C), '[1]input-mpo'!$D:$D)</f>
        <v>8426503</v>
      </c>
      <c r="P11" s="413" cm="1">
        <f t="array" ref="P11">_xlfn.XLOOKUP(1, ('0. GUIDELINES'!$E$3='[1]input-mpo'!$A:$A) * (P$7='[1]input-mpo'!$B:$B) * ($A11='[1]input-mpo'!$C:$C), '[1]input-mpo'!$D:$D)</f>
        <v>8891154</v>
      </c>
      <c r="Q11" s="413" cm="1">
        <f t="array" ref="Q11">_xlfn.XLOOKUP(1, ('0. GUIDELINES'!$E$3='[1]input-mpo'!$A:$A) * (Q$7='[1]input-mpo'!$B:$B) * ($A11='[1]input-mpo'!$C:$C), '[1]input-mpo'!$D:$D)</f>
        <v>9391224</v>
      </c>
      <c r="R11" s="413" cm="1">
        <f t="array" ref="R11">_xlfn.XLOOKUP(1, ('0. GUIDELINES'!$E$3='[1]input-mpo'!$A:$A) * (R$7='[1]input-mpo'!$B:$B) * ($A11='[1]input-mpo'!$C:$C), '[1]input-mpo'!$D:$D)</f>
        <v>9936015</v>
      </c>
      <c r="S11" s="413" cm="1">
        <f t="array" ref="S11">_xlfn.XLOOKUP(1, ('0. GUIDELINES'!$E$3='[1]input-mpo'!$A:$A) * (S$7='[1]input-mpo'!$B:$B) * ($A11='[1]input-mpo'!$C:$C), '[1]input-mpo'!$D:$D)</f>
        <v>10629824</v>
      </c>
      <c r="T11" s="413" cm="1">
        <f t="array" ref="T11">_xlfn.XLOOKUP(1, ('0. GUIDELINES'!$E$3='[1]input-mpo'!$A:$A) * (T$7='[1]input-mpo'!$B:$B) * ($A11='[1]input-mpo'!$C:$C), '[1]input-mpo'!$D:$D)</f>
        <v>11307474</v>
      </c>
      <c r="U11" s="413" cm="1">
        <f t="array" ref="U11">_xlfn.XLOOKUP(1, ('0. GUIDELINES'!$E$3='[1]input-mpo'!$A:$A) * (U$7='[1]input-mpo'!$B:$B) * ($A11='[1]input-mpo'!$C:$C), '[1]input-mpo'!$D:$D)</f>
        <v>12048523</v>
      </c>
      <c r="V11" s="413" cm="1">
        <f t="array" ref="V11">_xlfn.XLOOKUP(1, ('0. GUIDELINES'!$E$3='[1]input-mpo'!$A:$A) * (V$7='[1]input-mpo'!$B:$B) * ($A11='[1]input-mpo'!$C:$C), '[1]input-mpo'!$D:$D)</f>
        <v>12877439</v>
      </c>
      <c r="W11" s="413" cm="1">
        <f t="array" ref="W11">_xlfn.XLOOKUP(1, ('0. GUIDELINES'!$E$3='[1]input-mpo'!$A:$A) * (W$7='[1]input-mpo'!$B:$B) * ($A11='[1]input-mpo'!$C:$C), '[1]input-mpo'!$D:$D)</f>
        <v>13383891</v>
      </c>
      <c r="X11" s="413" cm="1">
        <f t="array" ref="X11">_xlfn.XLOOKUP(1, ('0. GUIDELINES'!$E$3='[1]input-mpo'!$A:$A) * (X$7='[1]input-mpo'!$B:$B) * ($A11='[1]input-mpo'!$C:$C), '[1]input-mpo'!$D:$D)</f>
        <v>14151078</v>
      </c>
      <c r="Y11" s="413" cm="1">
        <f t="array" ref="Y11">_xlfn.XLOOKUP(1, ('0. GUIDELINES'!$E$3='[1]input-mpo'!$A:$A) * (Y$7='[1]input-mpo'!$B:$B) * ($A11='[1]input-mpo'!$C:$C), '[1]input-mpo'!$D:$D)</f>
        <v>15036465</v>
      </c>
      <c r="Z11" s="414" cm="1">
        <f t="array" ref="Z11">_xlfn.XLOOKUP(1, ('0. GUIDELINES'!$E$3='[1]input-mpo'!$A:$A) * (Z$7='[1]input-mpo'!$B:$B) * ($A11='[1]input-mpo'!$C:$C), '[1]input-mpo'!$D:$D)</f>
        <v>15844110</v>
      </c>
      <c r="AA11" s="414" cm="1">
        <f t="array" ref="AA11">_xlfn.XLOOKUP(1, ('0. GUIDELINES'!$E$3='[1]input-mpo'!$A:$A) * (AA$7='[1]input-mpo'!$B:$B) * ($A11='[1]input-mpo'!$C:$C), '[1]input-mpo'!$D:$D)</f>
        <v>16737511</v>
      </c>
      <c r="AB11" s="414" cm="1">
        <f t="array" ref="AB11">_xlfn.XLOOKUP(1, ('0. GUIDELINES'!$E$3='[1]input-mpo'!$A:$A) * (AB$7='[1]input-mpo'!$B:$B) * ($A11='[1]input-mpo'!$C:$C), '[1]input-mpo'!$D:$D)</f>
        <v>17592770</v>
      </c>
      <c r="AC11" s="414" cm="1">
        <f t="array" ref="AC11">_xlfn.XLOOKUP(1, ('0. GUIDELINES'!$E$3='[1]input-mpo'!$A:$A) * (AC$7='[1]input-mpo'!$B:$B) * ($A11='[1]input-mpo'!$C:$C), '[1]input-mpo'!$D:$D)</f>
        <v>18616922</v>
      </c>
    </row>
    <row r="12" spans="1:37" ht="14.45" customHeight="1" x14ac:dyDescent="0.25">
      <c r="A12" s="89"/>
      <c r="B12" s="293"/>
      <c r="C12" s="93"/>
      <c r="D12" s="93"/>
      <c r="E12" s="93"/>
      <c r="F12" s="93"/>
      <c r="G12" s="93"/>
      <c r="H12" s="418" t="s">
        <v>456</v>
      </c>
      <c r="I12" s="431"/>
      <c r="J12" s="431">
        <f>(J8*10^6)/J27</f>
        <v>84171.324331445809</v>
      </c>
      <c r="K12" s="432">
        <f t="shared" ref="K12:AC12" si="0">(K8*10^6)/K27</f>
        <v>88444.485628883194</v>
      </c>
      <c r="L12" s="432">
        <f t="shared" si="0"/>
        <v>92092.529976042628</v>
      </c>
      <c r="M12" s="432">
        <f t="shared" si="0"/>
        <v>96120.197168482511</v>
      </c>
      <c r="N12" s="432">
        <f t="shared" si="0"/>
        <v>101093.96880446085</v>
      </c>
      <c r="O12" s="432">
        <f t="shared" si="0"/>
        <v>106355.87222321378</v>
      </c>
      <c r="P12" s="432">
        <f t="shared" si="0"/>
        <v>111331.96680376747</v>
      </c>
      <c r="Q12" s="432">
        <f t="shared" si="0"/>
        <v>116617.78638186962</v>
      </c>
      <c r="R12" s="432">
        <f t="shared" si="0"/>
        <v>122788.11236880347</v>
      </c>
      <c r="S12" s="432">
        <f t="shared" si="0"/>
        <v>129913.76544554955</v>
      </c>
      <c r="T12" s="432">
        <f t="shared" si="0"/>
        <v>136755.59904629953</v>
      </c>
      <c r="U12" s="432">
        <f t="shared" si="0"/>
        <v>145070.65937106375</v>
      </c>
      <c r="V12" s="432">
        <f t="shared" si="0"/>
        <v>154772.48082176613</v>
      </c>
      <c r="W12" s="432">
        <f t="shared" si="0"/>
        <v>158287.54355934996</v>
      </c>
      <c r="X12" s="432">
        <f t="shared" si="0"/>
        <v>167336.27787973455</v>
      </c>
      <c r="Y12" s="432">
        <f t="shared" si="0"/>
        <v>177300.89054031289</v>
      </c>
      <c r="Z12" s="433">
        <f t="shared" si="0"/>
        <v>185623.16855499212</v>
      </c>
      <c r="AA12" s="433">
        <f t="shared" si="0"/>
        <v>194137.07847006858</v>
      </c>
      <c r="AB12" s="433">
        <f t="shared" si="0"/>
        <v>203167.38160796266</v>
      </c>
      <c r="AC12" s="433">
        <f t="shared" si="0"/>
        <v>213163.29673337808</v>
      </c>
    </row>
    <row r="13" spans="1:37" ht="14.45" customHeight="1" x14ac:dyDescent="0.25">
      <c r="A13" s="449" t="s">
        <v>623</v>
      </c>
      <c r="B13" s="293"/>
      <c r="C13" s="93"/>
      <c r="D13" s="93"/>
      <c r="E13" s="93"/>
      <c r="F13" s="93"/>
      <c r="G13" s="93"/>
      <c r="H13" s="408"/>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442</v>
      </c>
      <c r="B14" s="293"/>
      <c r="C14" s="93"/>
      <c r="D14" s="93"/>
      <c r="E14" s="93"/>
      <c r="F14" s="93"/>
      <c r="G14" s="93"/>
      <c r="H14" s="418" t="s">
        <v>123</v>
      </c>
      <c r="I14" s="416" cm="1">
        <f t="array" ref="I14">_xlfn.XLOOKUP(1, ('0. GUIDELINES'!$E$3='[1]input-mpo'!$A:$A) * (I$7='[1]input-mpo'!$B:$B) * ($A14='[1]input-mpo'!$C:$C), '[1]input-mpo'!$D:$D)</f>
        <v>11332213.177438729</v>
      </c>
      <c r="J14" s="416" cm="1">
        <f t="array" ref="J14">_xlfn.XLOOKUP(1, ('0. GUIDELINES'!$E$3='[1]input-mpo'!$A:$A) * (J$7='[1]input-mpo'!$B:$B) * ($A14='[1]input-mpo'!$C:$C), '[1]input-mpo'!$D:$D)</f>
        <v>12132112.879730467</v>
      </c>
      <c r="K14" s="416" cm="1">
        <f t="array" ref="K14">_xlfn.XLOOKUP(1, ('0. GUIDELINES'!$E$3='[1]input-mpo'!$A:$A) * (K$7='[1]input-mpo'!$B:$B) * ($A14='[1]input-mpo'!$C:$C), '[1]input-mpo'!$D:$D)</f>
        <v>12861712.641670294</v>
      </c>
      <c r="L14" s="416" cm="1">
        <f t="array" ref="L14">_xlfn.XLOOKUP(1, ('0. GUIDELINES'!$E$3='[1]input-mpo'!$A:$A) * (L$7='[1]input-mpo'!$B:$B) * ($A14='[1]input-mpo'!$C:$C), '[1]input-mpo'!$D:$D)</f>
        <v>13510602.095111048</v>
      </c>
      <c r="M14" s="416" cm="1">
        <f t="array" ref="M14">_xlfn.XLOOKUP(1, ('0. GUIDELINES'!$E$3='[1]input-mpo'!$A:$A) * (M$7='[1]input-mpo'!$B:$B) * ($A14='[1]input-mpo'!$C:$C), '[1]input-mpo'!$D:$D)</f>
        <v>14263386.129873302</v>
      </c>
      <c r="N14" s="416" cm="1">
        <f t="array" ref="N14">_xlfn.XLOOKUP(1, ('0. GUIDELINES'!$E$3='[1]input-mpo'!$A:$A) * (N$7='[1]input-mpo'!$B:$B) * ($A14='[1]input-mpo'!$C:$C), '[1]input-mpo'!$D:$D)</f>
        <v>15185426.163662763</v>
      </c>
      <c r="O14" s="416" cm="1">
        <f t="array" ref="O14">_xlfn.XLOOKUP(1, ('0. GUIDELINES'!$E$3='[1]input-mpo'!$A:$A) * (O$7='[1]input-mpo'!$B:$B) * ($A14='[1]input-mpo'!$C:$C), '[1]input-mpo'!$D:$D)</f>
        <v>16175733.872300345</v>
      </c>
      <c r="P14" s="416" cm="1">
        <f t="array" ref="P14">_xlfn.XLOOKUP(1, ('0. GUIDELINES'!$E$3='[1]input-mpo'!$A:$A) * (P$7='[1]input-mpo'!$B:$B) * ($A14='[1]input-mpo'!$C:$C), '[1]input-mpo'!$D:$D)</f>
        <v>17148477.168329448</v>
      </c>
      <c r="Q14" s="416" cm="1">
        <f t="array" ref="Q14">_xlfn.XLOOKUP(1, ('0. GUIDELINES'!$E$3='[1]input-mpo'!$A:$A) * (Q$7='[1]input-mpo'!$B:$B) * ($A14='[1]input-mpo'!$C:$C), '[1]input-mpo'!$D:$D)</f>
        <v>18187862.326803636</v>
      </c>
      <c r="R14" s="416" cm="1">
        <f t="array" ref="R14">_xlfn.XLOOKUP(1, ('0. GUIDELINES'!$E$3='[1]input-mpo'!$A:$A) * (R$7='[1]input-mpo'!$B:$B) * ($A14='[1]input-mpo'!$C:$C), '[1]input-mpo'!$D:$D)</f>
        <v>19379648.602542982</v>
      </c>
      <c r="S14" s="416" cm="1">
        <f t="array" ref="S14">_xlfn.XLOOKUP(1, ('0. GUIDELINES'!$E$3='[1]input-mpo'!$A:$A) * (S$7='[1]input-mpo'!$B:$B) * ($A14='[1]input-mpo'!$C:$C), '[1]input-mpo'!$D:$D)</f>
        <v>20758213.000000007</v>
      </c>
      <c r="T14" s="416" cm="1">
        <f t="array" ref="T14">_xlfn.XLOOKUP(1, ('0. GUIDELINES'!$E$3='[1]input-mpo'!$A:$A) * (T$7='[1]input-mpo'!$B:$B) * ($A14='[1]input-mpo'!$C:$C), '[1]input-mpo'!$D:$D)</f>
        <v>22126230.000000007</v>
      </c>
      <c r="U14" s="416" cm="1">
        <f t="array" ref="U14">_xlfn.XLOOKUP(1, ('0. GUIDELINES'!$E$3='[1]input-mpo'!$A:$A) * (U$7='[1]input-mpo'!$B:$B) * ($A14='[1]input-mpo'!$C:$C), '[1]input-mpo'!$D:$D)</f>
        <v>23745739</v>
      </c>
      <c r="V14" s="416" cm="1">
        <f t="array" ref="V14">_xlfn.XLOOKUP(1, ('0. GUIDELINES'!$E$3='[1]input-mpo'!$A:$A) * (V$7='[1]input-mpo'!$B:$B) * ($A14='[1]input-mpo'!$C:$C), '[1]input-mpo'!$D:$D)</f>
        <v>25617356</v>
      </c>
      <c r="W14" s="416" cm="1">
        <f t="array" ref="W14">_xlfn.XLOOKUP(1, ('0. GUIDELINES'!$E$3='[1]input-mpo'!$A:$A) * (W$7='[1]input-mpo'!$B:$B) * ($A14='[1]input-mpo'!$C:$C), '[1]input-mpo'!$D:$D)</f>
        <v>26500650.999999993</v>
      </c>
      <c r="X14" s="416" cm="1">
        <f t="array" ref="X14">_xlfn.XLOOKUP(1, ('0. GUIDELINES'!$E$3='[1]input-mpo'!$A:$A) * (X$7='[1]input-mpo'!$B:$B) * ($A14='[1]input-mpo'!$C:$C), '[1]input-mpo'!$D:$D)</f>
        <v>28339444</v>
      </c>
      <c r="Y14" s="416" cm="1">
        <f t="array" ref="Y14">_xlfn.XLOOKUP(1, ('0. GUIDELINES'!$E$3='[1]input-mpo'!$A:$A) * (Y$7='[1]input-mpo'!$B:$B) * ($A14='[1]input-mpo'!$C:$C), '[1]input-mpo'!$D:$D)</f>
        <v>30351494.999999993</v>
      </c>
      <c r="Z14" s="417" cm="1">
        <f t="array" ref="Z14">_xlfn.XLOOKUP(1, ('0. GUIDELINES'!$E$3='[1]input-mpo'!$A:$A) * (Z$7='[1]input-mpo'!$B:$B) * ($A14='[1]input-mpo'!$C:$C), '[1]input-mpo'!$D:$D)</f>
        <v>32104328.999999993</v>
      </c>
      <c r="AA14" s="417" cm="1">
        <f t="array" ref="AA14">_xlfn.XLOOKUP(1, ('0. GUIDELINES'!$E$3='[1]input-mpo'!$A:$A) * (AA$7='[1]input-mpo'!$B:$B) * ($A14='[1]input-mpo'!$C:$C) * ($A$13='[1]input-mpo'!$F:$F), '[1]input-mpo'!$D:$D)</f>
        <v>33915983.981280357</v>
      </c>
      <c r="AB14" s="417" cm="1">
        <f t="array" ref="AB14">_xlfn.XLOOKUP(1, ('0. GUIDELINES'!$E$3='[1]input-mpo'!$A:$A) * (AB$7='[1]input-mpo'!$B:$B) * ($A14='[1]input-mpo'!$C:$C) * ($A$13='[1]input-mpo'!$F:$F), '[1]input-mpo'!$D:$D)</f>
        <v>35843097.4706081</v>
      </c>
      <c r="AC14" s="417" cm="1">
        <f t="array" ref="AC14">_xlfn.XLOOKUP(1, ('0. GUIDELINES'!$E$3='[1]input-mpo'!$A:$A) * (AC$7='[1]input-mpo'!$B:$B) * ($A14='[1]input-mpo'!$C:$C) * ($A$13='[1]input-mpo'!$F:$F), '[1]input-mpo'!$D:$D)</f>
        <v>37965693.008444853</v>
      </c>
    </row>
    <row r="15" spans="1:37" ht="14.45" customHeight="1" x14ac:dyDescent="0.25">
      <c r="A15" s="89"/>
      <c r="B15" s="293"/>
      <c r="C15" s="93"/>
      <c r="D15" s="93"/>
      <c r="E15" s="93"/>
      <c r="F15" s="93"/>
      <c r="G15" s="93"/>
      <c r="H15" s="450" t="s">
        <v>508</v>
      </c>
      <c r="I15" s="451">
        <f>(I14-I16)/I14</f>
        <v>5.3897372843256207E-2</v>
      </c>
      <c r="J15" s="451">
        <f t="shared" ref="J15:AC15" si="1">(J14-J16)/J14</f>
        <v>5.2910464829867936E-2</v>
      </c>
      <c r="K15" s="451">
        <f t="shared" si="1"/>
        <v>5.4366863494296577E-2</v>
      </c>
      <c r="L15" s="451">
        <f t="shared" si="1"/>
        <v>5.2455709563871661E-2</v>
      </c>
      <c r="M15" s="451">
        <f t="shared" si="1"/>
        <v>4.8233683726103968E-2</v>
      </c>
      <c r="N15" s="451">
        <f t="shared" si="1"/>
        <v>4.6630652974130098E-2</v>
      </c>
      <c r="O15" s="451">
        <f t="shared" si="1"/>
        <v>4.4873749110309044E-2</v>
      </c>
      <c r="P15" s="451">
        <f t="shared" si="1"/>
        <v>4.3712470234315626E-2</v>
      </c>
      <c r="Q15" s="451">
        <f t="shared" si="1"/>
        <v>4.2913991063554001E-2</v>
      </c>
      <c r="R15" s="451">
        <f t="shared" si="1"/>
        <v>4.3066931834399302E-2</v>
      </c>
      <c r="S15" s="451">
        <f t="shared" si="1"/>
        <v>4.2582615372527478E-2</v>
      </c>
      <c r="T15" s="451">
        <f t="shared" si="1"/>
        <v>4.3001948366260305E-2</v>
      </c>
      <c r="U15" s="451">
        <f t="shared" si="1"/>
        <v>4.2775211165253693E-2</v>
      </c>
      <c r="V15" s="451">
        <f t="shared" si="1"/>
        <v>4.1607728760142147E-2</v>
      </c>
      <c r="W15" s="451">
        <f t="shared" si="1"/>
        <v>3.8754783797575396E-2</v>
      </c>
      <c r="X15" s="451">
        <f t="shared" si="1"/>
        <v>3.8173120121905005E-2</v>
      </c>
      <c r="Y15" s="451">
        <f t="shared" si="1"/>
        <v>3.7578214845759669E-2</v>
      </c>
      <c r="Z15" s="452">
        <f t="shared" si="1"/>
        <v>3.3302113244603249E-2</v>
      </c>
      <c r="AA15" s="452">
        <f t="shared" si="1"/>
        <v>3.2653650759963508E-2</v>
      </c>
      <c r="AB15" s="452">
        <f t="shared" si="1"/>
        <v>3.2653650759963487E-2</v>
      </c>
      <c r="AC15" s="452">
        <f t="shared" si="1"/>
        <v>3.2702269115857344E-2</v>
      </c>
    </row>
    <row r="16" spans="1:37" ht="14.45" customHeight="1" x14ac:dyDescent="0.25">
      <c r="A16" s="89"/>
      <c r="B16" s="293"/>
      <c r="C16" s="93"/>
      <c r="D16" s="93"/>
      <c r="E16" s="93"/>
      <c r="F16" s="93"/>
      <c r="G16" s="93"/>
      <c r="H16" s="418" t="s">
        <v>507</v>
      </c>
      <c r="I16" s="416">
        <f>I17+I18+I21</f>
        <v>10721436.658675052</v>
      </c>
      <c r="J16" s="416">
        <f t="shared" ref="J16:Z16" si="2">J17+J18+J21</f>
        <v>11490197.1478955</v>
      </c>
      <c r="K16" s="416">
        <f t="shared" si="2"/>
        <v>12162461.666177737</v>
      </c>
      <c r="L16" s="416">
        <f t="shared" si="2"/>
        <v>12801893.875576867</v>
      </c>
      <c r="M16" s="416">
        <f t="shared" si="2"/>
        <v>13575410.474421695</v>
      </c>
      <c r="N16" s="416">
        <f t="shared" si="2"/>
        <v>14477319.825960729</v>
      </c>
      <c r="O16" s="416">
        <f t="shared" si="2"/>
        <v>15449868.048839612</v>
      </c>
      <c r="P16" s="416">
        <f t="shared" si="2"/>
        <v>16398874.870545005</v>
      </c>
      <c r="Q16" s="416">
        <f t="shared" si="2"/>
        <v>17407348.565446034</v>
      </c>
      <c r="R16" s="416">
        <f t="shared" si="2"/>
        <v>18545026.597202651</v>
      </c>
      <c r="S16" s="416">
        <f t="shared" si="2"/>
        <v>19874274.000000007</v>
      </c>
      <c r="T16" s="416">
        <f t="shared" si="2"/>
        <v>21174759.000000007</v>
      </c>
      <c r="U16" s="416">
        <f t="shared" si="2"/>
        <v>22730010</v>
      </c>
      <c r="V16" s="416">
        <f t="shared" si="2"/>
        <v>24551476</v>
      </c>
      <c r="W16" s="416">
        <f t="shared" si="2"/>
        <v>25473623.999999993</v>
      </c>
      <c r="X16" s="416">
        <f t="shared" si="2"/>
        <v>27257639</v>
      </c>
      <c r="Y16" s="416">
        <f t="shared" si="2"/>
        <v>29210939.999999993</v>
      </c>
      <c r="Z16" s="417">
        <f t="shared" si="2"/>
        <v>31035186.999999993</v>
      </c>
      <c r="AA16" s="417">
        <f>AA17+AA18+AA21</f>
        <v>32808503.285175111</v>
      </c>
      <c r="AB16" s="417">
        <f>AB17+AB18+AB21</f>
        <v>34672689.483647533</v>
      </c>
      <c r="AC16" s="417">
        <f>AC17+AC18+AC21</f>
        <v>36724128.698512666</v>
      </c>
    </row>
    <row r="17" spans="1:29" ht="14.45" customHeight="1" x14ac:dyDescent="0.25">
      <c r="A17" s="89" t="s">
        <v>445</v>
      </c>
      <c r="B17" s="293"/>
      <c r="C17" s="93"/>
      <c r="D17" s="93"/>
      <c r="E17" s="93"/>
      <c r="F17" s="93"/>
      <c r="G17" s="93"/>
      <c r="H17" s="419" t="s">
        <v>29</v>
      </c>
      <c r="I17" s="420" cm="1">
        <f t="array" ref="I17">_xlfn.XLOOKUP(1, ('0. GUIDELINES'!$E$3='[1]input-mpo'!$A:$A) * (I$7='[1]input-mpo'!$B:$B) * ($A17='[1]input-mpo'!$C:$C), '[1]input-mpo'!$D:$D)</f>
        <v>2037973.5205495418</v>
      </c>
      <c r="J17" s="420" cm="1">
        <f t="array" ref="J17">_xlfn.XLOOKUP(1, ('0. GUIDELINES'!$E$3='[1]input-mpo'!$A:$A) * (J$7='[1]input-mpo'!$B:$B) * ($A17='[1]input-mpo'!$C:$C), '[1]input-mpo'!$D:$D)</f>
        <v>2174364.8225567653</v>
      </c>
      <c r="K17" s="420" cm="1">
        <f t="array" ref="K17">_xlfn.XLOOKUP(1, ('0. GUIDELINES'!$E$3='[1]input-mpo'!$A:$A) * (K$7='[1]input-mpo'!$B:$B) * ($A17='[1]input-mpo'!$C:$C), '[1]input-mpo'!$D:$D)</f>
        <v>2272077.905051453</v>
      </c>
      <c r="L17" s="420" cm="1">
        <f t="array" ref="L17">_xlfn.XLOOKUP(1, ('0. GUIDELINES'!$E$3='[1]input-mpo'!$A:$A) * (L$7='[1]input-mpo'!$B:$B) * ($A17='[1]input-mpo'!$C:$C), '[1]input-mpo'!$D:$D)</f>
        <v>2350830.1350540253</v>
      </c>
      <c r="M17" s="420" cm="1">
        <f t="array" ref="M17">_xlfn.XLOOKUP(1, ('0. GUIDELINES'!$E$3='[1]input-mpo'!$A:$A) * (M$7='[1]input-mpo'!$B:$B) * ($A17='[1]input-mpo'!$C:$C), '[1]input-mpo'!$D:$D)</f>
        <v>2495451.9620685186</v>
      </c>
      <c r="N17" s="420" cm="1">
        <f t="array" ref="N17">_xlfn.XLOOKUP(1, ('0. GUIDELINES'!$E$3='[1]input-mpo'!$A:$A) * (N$7='[1]input-mpo'!$B:$B) * ($A17='[1]input-mpo'!$C:$C), '[1]input-mpo'!$D:$D)</f>
        <v>2606658.5095816543</v>
      </c>
      <c r="O17" s="420" cm="1">
        <f t="array" ref="O17">_xlfn.XLOOKUP(1, ('0. GUIDELINES'!$E$3='[1]input-mpo'!$A:$A) * (O$7='[1]input-mpo'!$B:$B) * ($A17='[1]input-mpo'!$C:$C), '[1]input-mpo'!$D:$D)</f>
        <v>2685230.2717251824</v>
      </c>
      <c r="P17" s="420" cm="1">
        <f t="array" ref="P17">_xlfn.XLOOKUP(1, ('0. GUIDELINES'!$E$3='[1]input-mpo'!$A:$A) * (P$7='[1]input-mpo'!$B:$B) * ($A17='[1]input-mpo'!$C:$C), '[1]input-mpo'!$D:$D)</f>
        <v>2751418.1780321049</v>
      </c>
      <c r="Q17" s="420" cm="1">
        <f t="array" ref="Q17">_xlfn.XLOOKUP(1, ('0. GUIDELINES'!$E$3='[1]input-mpo'!$A:$A) * (Q$7='[1]input-mpo'!$B:$B) * ($A17='[1]input-mpo'!$C:$C), '[1]input-mpo'!$D:$D)</f>
        <v>2871706.6053806697</v>
      </c>
      <c r="R17" s="420" cm="1">
        <f t="array" ref="R17">_xlfn.XLOOKUP(1, ('0. GUIDELINES'!$E$3='[1]input-mpo'!$A:$A) * (R$7='[1]input-mpo'!$B:$B) * ($A17='[1]input-mpo'!$C:$C), '[1]input-mpo'!$D:$D)</f>
        <v>2967287.9442823385</v>
      </c>
      <c r="S17" s="420" cm="1">
        <f t="array" ref="S17">_xlfn.XLOOKUP(1, ('0. GUIDELINES'!$E$3='[1]input-mpo'!$A:$A) * (S$7='[1]input-mpo'!$B:$B) * ($A17='[1]input-mpo'!$C:$C), '[1]input-mpo'!$D:$D)</f>
        <v>2795050.0000000014</v>
      </c>
      <c r="T17" s="420" cm="1">
        <f t="array" ref="T17">_xlfn.XLOOKUP(1, ('0. GUIDELINES'!$E$3='[1]input-mpo'!$A:$A) * (T$7='[1]input-mpo'!$B:$B) * ($A17='[1]input-mpo'!$C:$C), '[1]input-mpo'!$D:$D)</f>
        <v>2884379.9999999995</v>
      </c>
      <c r="U17" s="420" cm="1">
        <f t="array" ref="U17">_xlfn.XLOOKUP(1, ('0. GUIDELINES'!$E$3='[1]input-mpo'!$A:$A) * (U$7='[1]input-mpo'!$B:$B) * ($A17='[1]input-mpo'!$C:$C), '[1]input-mpo'!$D:$D)</f>
        <v>2986618.0000000023</v>
      </c>
      <c r="V17" s="420" cm="1">
        <f t="array" ref="V17">_xlfn.XLOOKUP(1, ('0. GUIDELINES'!$E$3='[1]input-mpo'!$A:$A) * (V$7='[1]input-mpo'!$B:$B) * ($A17='[1]input-mpo'!$C:$C), '[1]input-mpo'!$D:$D)</f>
        <v>3083999.0000000019</v>
      </c>
      <c r="W17" s="420" cm="1">
        <f t="array" ref="W17">_xlfn.XLOOKUP(1, ('0. GUIDELINES'!$E$3='[1]input-mpo'!$A:$A) * (W$7='[1]input-mpo'!$B:$B) * ($A17='[1]input-mpo'!$C:$C), '[1]input-mpo'!$D:$D)</f>
        <v>3189500.9999999977</v>
      </c>
      <c r="X17" s="420" cm="1">
        <f t="array" ref="X17">_xlfn.XLOOKUP(1, ('0. GUIDELINES'!$E$3='[1]input-mpo'!$A:$A) * (X$7='[1]input-mpo'!$B:$B) * ($A17='[1]input-mpo'!$C:$C), '[1]input-mpo'!$D:$D)</f>
        <v>3290752.9999999981</v>
      </c>
      <c r="Y17" s="420" cm="1">
        <f t="array" ref="Y17">_xlfn.XLOOKUP(1, ('0. GUIDELINES'!$E$3='[1]input-mpo'!$A:$A) * (Y$7='[1]input-mpo'!$B:$B) * ($A17='[1]input-mpo'!$C:$C), '[1]input-mpo'!$D:$D)</f>
        <v>3391251.9999999977</v>
      </c>
      <c r="Z17" s="421" cm="1">
        <f t="array" ref="Z17">_xlfn.XLOOKUP(1, ('0. GUIDELINES'!$E$3='[1]input-mpo'!$A:$A) * (Z$7='[1]input-mpo'!$B:$B) * ($A17='[1]input-mpo'!$C:$C), '[1]input-mpo'!$D:$D)</f>
        <v>3505585.9999999907</v>
      </c>
      <c r="AA17" s="421" cm="1">
        <f t="array" ref="AA17">_xlfn.XLOOKUP(1, ('0. GUIDELINES'!$E$3='[1]input-mpo'!$A:$A) * (AA$7='[1]input-mpo'!$B:$B) * ($A17='[1]input-mpo'!$C:$C)* ($A$13='[1]input-mpo'!$F:$F), '[1]input-mpo'!$D:$D)</f>
        <v>3614259.16599999</v>
      </c>
      <c r="AB17" s="421" cm="1">
        <f t="array" ref="AB17">_xlfn.XLOOKUP(1, ('0. GUIDELINES'!$E$3='[1]input-mpo'!$A:$A) * (AB$7='[1]input-mpo'!$B:$B) * ($A17='[1]input-mpo'!$C:$C)* ($A$13='[1]input-mpo'!$F:$F), '[1]input-mpo'!$D:$D)</f>
        <v>3726301.2001459892</v>
      </c>
      <c r="AC17" s="421" cm="1">
        <f t="array" ref="AC17">_xlfn.XLOOKUP(1, ('0. GUIDELINES'!$E$3='[1]input-mpo'!$A:$A) * (AC$7='[1]input-mpo'!$B:$B) * ($A17='[1]input-mpo'!$C:$C)* ($A$13='[1]input-mpo'!$F:$F), '[1]input-mpo'!$D:$D)</f>
        <v>3845542.8385506608</v>
      </c>
    </row>
    <row r="18" spans="1:29" ht="14.45" customHeight="1" x14ac:dyDescent="0.25">
      <c r="A18" s="89"/>
      <c r="B18" s="293"/>
      <c r="C18" s="93"/>
      <c r="D18" s="93"/>
      <c r="E18" s="93"/>
      <c r="F18" s="93"/>
      <c r="G18" s="93"/>
      <c r="H18" s="419" t="s">
        <v>31</v>
      </c>
      <c r="I18" s="420">
        <f t="shared" ref="I18" si="3">SUM(I19:I20)</f>
        <v>2722944.4502677415</v>
      </c>
      <c r="J18" s="420">
        <f t="shared" ref="J18" si="4">SUM(J19:J20)</f>
        <v>2968767.1981910253</v>
      </c>
      <c r="K18" s="420">
        <f t="shared" ref="K18" si="5">SUM(K19:K20)</f>
        <v>3177576.449622211</v>
      </c>
      <c r="L18" s="420">
        <f t="shared" ref="L18" si="6">SUM(L19:L20)</f>
        <v>3397247.8149949871</v>
      </c>
      <c r="M18" s="420">
        <f t="shared" ref="M18" si="7">SUM(M19:M20)</f>
        <v>3636149.1423604842</v>
      </c>
      <c r="N18" s="420">
        <f t="shared" ref="N18" si="8">SUM(N19:N20)</f>
        <v>3964098.1668832451</v>
      </c>
      <c r="O18" s="420">
        <f t="shared" ref="O18" si="9">SUM(O19:O20)</f>
        <v>4338134.5644141259</v>
      </c>
      <c r="P18" s="420">
        <f t="shared" ref="P18" si="10">SUM(P19:P20)</f>
        <v>4756302.9250805313</v>
      </c>
      <c r="Q18" s="420">
        <f t="shared" ref="Q18" si="11">SUM(Q19:Q20)</f>
        <v>5144417.920840349</v>
      </c>
      <c r="R18" s="420">
        <f t="shared" ref="R18" si="12">SUM(R19:R20)</f>
        <v>5641723.9066053219</v>
      </c>
      <c r="S18" s="420">
        <f t="shared" ref="S18" si="13">SUM(S19:S20)</f>
        <v>6449400.0000000102</v>
      </c>
      <c r="T18" s="420">
        <f t="shared" ref="T18" si="14">SUM(T19:T20)</f>
        <v>6982905.0000000168</v>
      </c>
      <c r="U18" s="420">
        <f t="shared" ref="U18" si="15">SUM(U19:U20)</f>
        <v>7694869.0000000009</v>
      </c>
      <c r="V18" s="420">
        <f t="shared" ref="V18:Y18" si="16">SUM(V19:V20)</f>
        <v>8590037.9999999963</v>
      </c>
      <c r="W18" s="420">
        <f t="shared" si="16"/>
        <v>8900232.0000000093</v>
      </c>
      <c r="X18" s="420">
        <f t="shared" si="16"/>
        <v>9815808</v>
      </c>
      <c r="Y18" s="420">
        <f t="shared" si="16"/>
        <v>10783222.999999996</v>
      </c>
      <c r="Z18" s="421">
        <f t="shared" ref="Z18" si="17">SUM(Z19:Z20)</f>
        <v>11685490.999999994</v>
      </c>
      <c r="AA18" s="421">
        <f t="shared" ref="AA18:AC18" si="18">SUM(AA19:AA20)</f>
        <v>12456733.405999994</v>
      </c>
      <c r="AB18" s="421">
        <f t="shared" si="18"/>
        <v>13353618.211231994</v>
      </c>
      <c r="AC18" s="421">
        <f t="shared" si="18"/>
        <v>14261664.249595771</v>
      </c>
    </row>
    <row r="19" spans="1:29" ht="14.45" customHeight="1" x14ac:dyDescent="0.25">
      <c r="A19" s="89" t="s">
        <v>446</v>
      </c>
      <c r="B19" s="293"/>
      <c r="C19" s="93"/>
      <c r="D19" s="93"/>
      <c r="E19" s="93"/>
      <c r="F19" s="93"/>
      <c r="G19" s="93"/>
      <c r="H19" s="408" t="s">
        <v>443</v>
      </c>
      <c r="I19" s="303" cm="1">
        <f t="array" ref="I19">_xlfn.XLOOKUP(1, ('0. GUIDELINES'!$E$3='[1]input-mpo'!$A:$A) * (I$7='[1]input-mpo'!$B:$B) * ($A19='[1]input-mpo'!$C:$C), '[1]input-mpo'!$D:$D)</f>
        <v>698766.02816550992</v>
      </c>
      <c r="J19" s="303" cm="1">
        <f t="array" ref="J19">_xlfn.XLOOKUP(1, ('0. GUIDELINES'!$E$3='[1]input-mpo'!$A:$A) * (J$7='[1]input-mpo'!$B:$B) * ($A19='[1]input-mpo'!$C:$C), '[1]input-mpo'!$D:$D)</f>
        <v>745886.58343318617</v>
      </c>
      <c r="K19" s="303" cm="1">
        <f t="array" ref="K19">_xlfn.XLOOKUP(1, ('0. GUIDELINES'!$E$3='[1]input-mpo'!$A:$A) * (K$7='[1]input-mpo'!$B:$B) * ($A19='[1]input-mpo'!$C:$C), '[1]input-mpo'!$D:$D)</f>
        <v>790548.70110557042</v>
      </c>
      <c r="L19" s="303" cm="1">
        <f t="array" ref="L19">_xlfn.XLOOKUP(1, ('0. GUIDELINES'!$E$3='[1]input-mpo'!$A:$A) * (L$7='[1]input-mpo'!$B:$B) * ($A19='[1]input-mpo'!$C:$C), '[1]input-mpo'!$D:$D)</f>
        <v>842547.01212399453</v>
      </c>
      <c r="M19" s="303" cm="1">
        <f t="array" ref="M19">_xlfn.XLOOKUP(1, ('0. GUIDELINES'!$E$3='[1]input-mpo'!$A:$A) * (M$7='[1]input-mpo'!$B:$B) * ($A19='[1]input-mpo'!$C:$C), '[1]input-mpo'!$D:$D)</f>
        <v>903289.93139576074</v>
      </c>
      <c r="N19" s="303" cm="1">
        <f t="array" ref="N19">_xlfn.XLOOKUP(1, ('0. GUIDELINES'!$E$3='[1]input-mpo'!$A:$A) * (N$7='[1]input-mpo'!$B:$B) * ($A19='[1]input-mpo'!$C:$C), '[1]input-mpo'!$D:$D)</f>
        <v>966097.73774830904</v>
      </c>
      <c r="O19" s="303" cm="1">
        <f t="array" ref="O19">_xlfn.XLOOKUP(1, ('0. GUIDELINES'!$E$3='[1]input-mpo'!$A:$A) * (O$7='[1]input-mpo'!$B:$B) * ($A19='[1]input-mpo'!$C:$C), '[1]input-mpo'!$D:$D)</f>
        <v>1047488.5763304057</v>
      </c>
      <c r="P19" s="303" cm="1">
        <f t="array" ref="P19">_xlfn.XLOOKUP(1, ('0. GUIDELINES'!$E$3='[1]input-mpo'!$A:$A) * (P$7='[1]input-mpo'!$B:$B) * ($A19='[1]input-mpo'!$C:$C), '[1]input-mpo'!$D:$D)</f>
        <v>1131734.0282376646</v>
      </c>
      <c r="Q19" s="303" cm="1">
        <f t="array" ref="Q19">_xlfn.XLOOKUP(1, ('0. GUIDELINES'!$E$3='[1]input-mpo'!$A:$A) * (Q$7='[1]input-mpo'!$B:$B) * ($A19='[1]input-mpo'!$C:$C), '[1]input-mpo'!$D:$D)</f>
        <v>1223202.6297468757</v>
      </c>
      <c r="R19" s="303" cm="1">
        <f t="array" ref="R19">_xlfn.XLOOKUP(1, ('0. GUIDELINES'!$E$3='[1]input-mpo'!$A:$A) * (R$7='[1]input-mpo'!$B:$B) * ($A19='[1]input-mpo'!$C:$C), '[1]input-mpo'!$D:$D)</f>
        <v>1328389.8978939755</v>
      </c>
      <c r="S19" s="303" cm="1">
        <f t="array" ref="S19">_xlfn.XLOOKUP(1, ('0. GUIDELINES'!$E$3='[1]input-mpo'!$A:$A) * (S$7='[1]input-mpo'!$B:$B) * ($A19='[1]input-mpo'!$C:$C), '[1]input-mpo'!$D:$D)</f>
        <v>1628426.0000000028</v>
      </c>
      <c r="T19" s="303" cm="1">
        <f t="array" ref="T19">_xlfn.XLOOKUP(1, ('0. GUIDELINES'!$E$3='[1]input-mpo'!$A:$A) * (T$7='[1]input-mpo'!$B:$B) * ($A19='[1]input-mpo'!$C:$C), '[1]input-mpo'!$D:$D)</f>
        <v>1787343.0000000056</v>
      </c>
      <c r="U19" s="303" cm="1">
        <f t="array" ref="U19">_xlfn.XLOOKUP(1, ('0. GUIDELINES'!$E$3='[1]input-mpo'!$A:$A) * (U$7='[1]input-mpo'!$B:$B) * ($A19='[1]input-mpo'!$C:$C), '[1]input-mpo'!$D:$D)</f>
        <v>1967100.9999999925</v>
      </c>
      <c r="V19" s="303" cm="1">
        <f t="array" ref="V19">_xlfn.XLOOKUP(1, ('0. GUIDELINES'!$E$3='[1]input-mpo'!$A:$A) * (V$7='[1]input-mpo'!$B:$B) * ($A19='[1]input-mpo'!$C:$C), '[1]input-mpo'!$D:$D)</f>
        <v>2173143.9999999935</v>
      </c>
      <c r="W19" s="303" cm="1">
        <f t="array" ref="W19">_xlfn.XLOOKUP(1, ('0. GUIDELINES'!$E$3='[1]input-mpo'!$A:$A) * (W$7='[1]input-mpo'!$B:$B) * ($A19='[1]input-mpo'!$C:$C), '[1]input-mpo'!$D:$D)</f>
        <v>2371462.0000000037</v>
      </c>
      <c r="X19" s="303" cm="1">
        <f t="array" ref="X19">_xlfn.XLOOKUP(1, ('0. GUIDELINES'!$E$3='[1]input-mpo'!$A:$A) * (X$7='[1]input-mpo'!$B:$B) * ($A19='[1]input-mpo'!$C:$C), '[1]input-mpo'!$D:$D)</f>
        <v>2563048.9999999944</v>
      </c>
      <c r="Y19" s="303" cm="1">
        <f t="array" ref="Y19">_xlfn.XLOOKUP(1, ('0. GUIDELINES'!$E$3='[1]input-mpo'!$A:$A) * (Y$7='[1]input-mpo'!$B:$B) * ($A19='[1]input-mpo'!$C:$C), '[1]input-mpo'!$D:$D)</f>
        <v>2786275.9999999907</v>
      </c>
      <c r="Z19" s="142" cm="1">
        <f t="array" ref="Z19">_xlfn.XLOOKUP(1, ('0. GUIDELINES'!$E$3='[1]input-mpo'!$A:$A) * (Z$7='[1]input-mpo'!$B:$B) * ($A19='[1]input-mpo'!$C:$C), '[1]input-mpo'!$D:$D)</f>
        <v>2980793.9999999907</v>
      </c>
      <c r="AA19" s="142" cm="1">
        <f t="array" ref="AA19">_xlfn.XLOOKUP(1, ('0. GUIDELINES'!$E$3='[1]input-mpo'!$A:$A) * (AA$7='[1]input-mpo'!$B:$B) * ($A19='[1]input-mpo'!$C:$C)* ($A$13='[1]input-mpo'!$F:$F), '[1]input-mpo'!$D:$D)</f>
        <v>3031263.5366130602</v>
      </c>
      <c r="AB19" s="142" cm="1">
        <f t="array" ref="AB19">_xlfn.XLOOKUP(1, ('0. GUIDELINES'!$E$3='[1]input-mpo'!$A:$A) * (AB$7='[1]input-mpo'!$B:$B) * ($A19='[1]input-mpo'!$C:$C)* ($A$13='[1]input-mpo'!$F:$F), '[1]input-mpo'!$D:$D)</f>
        <v>3243520.8316052463</v>
      </c>
      <c r="AC19" s="142" cm="1">
        <f t="array" ref="AC19">_xlfn.XLOOKUP(1, ('0. GUIDELINES'!$E$3='[1]input-mpo'!$A:$A) * (AC$7='[1]input-mpo'!$B:$B) * ($A19='[1]input-mpo'!$C:$C)* ($A$13='[1]input-mpo'!$F:$F), '[1]input-mpo'!$D:$D)</f>
        <v>3540218.3908106163</v>
      </c>
    </row>
    <row r="20" spans="1:29" ht="14.45" customHeight="1" x14ac:dyDescent="0.25">
      <c r="A20" s="89" t="s">
        <v>447</v>
      </c>
      <c r="B20" s="293"/>
      <c r="C20" s="93"/>
      <c r="D20" s="93"/>
      <c r="E20" s="93"/>
      <c r="F20" s="93"/>
      <c r="G20" s="93"/>
      <c r="H20" s="408" t="s">
        <v>444</v>
      </c>
      <c r="I20" s="303" cm="1">
        <f t="array" ref="I20">_xlfn.XLOOKUP(1, ('0. GUIDELINES'!$E$3='[1]input-mpo'!$A:$A) * (I$7='[1]input-mpo'!$B:$B) * ($A20='[1]input-mpo'!$C:$C), '[1]input-mpo'!$D:$D)</f>
        <v>2024178.4221022315</v>
      </c>
      <c r="J20" s="303" cm="1">
        <f t="array" ref="J20">_xlfn.XLOOKUP(1, ('0. GUIDELINES'!$E$3='[1]input-mpo'!$A:$A) * (J$7='[1]input-mpo'!$B:$B) * ($A20='[1]input-mpo'!$C:$C), '[1]input-mpo'!$D:$D)</f>
        <v>2222880.6147578391</v>
      </c>
      <c r="K20" s="303" cm="1">
        <f t="array" ref="K20">_xlfn.XLOOKUP(1, ('0. GUIDELINES'!$E$3='[1]input-mpo'!$A:$A) * (K$7='[1]input-mpo'!$B:$B) * ($A20='[1]input-mpo'!$C:$C), '[1]input-mpo'!$D:$D)</f>
        <v>2387027.7485166406</v>
      </c>
      <c r="L20" s="303" cm="1">
        <f t="array" ref="L20">_xlfn.XLOOKUP(1, ('0. GUIDELINES'!$E$3='[1]input-mpo'!$A:$A) * (L$7='[1]input-mpo'!$B:$B) * ($A20='[1]input-mpo'!$C:$C), '[1]input-mpo'!$D:$D)</f>
        <v>2554700.8028709926</v>
      </c>
      <c r="M20" s="303" cm="1">
        <f t="array" ref="M20">_xlfn.XLOOKUP(1, ('0. GUIDELINES'!$E$3='[1]input-mpo'!$A:$A) * (M$7='[1]input-mpo'!$B:$B) * ($A20='[1]input-mpo'!$C:$C), '[1]input-mpo'!$D:$D)</f>
        <v>2732859.2109647235</v>
      </c>
      <c r="N20" s="303" cm="1">
        <f t="array" ref="N20">_xlfn.XLOOKUP(1, ('0. GUIDELINES'!$E$3='[1]input-mpo'!$A:$A) * (N$7='[1]input-mpo'!$B:$B) * ($A20='[1]input-mpo'!$C:$C), '[1]input-mpo'!$D:$D)</f>
        <v>2998000.4291349361</v>
      </c>
      <c r="O20" s="303" cm="1">
        <f t="array" ref="O20">_xlfn.XLOOKUP(1, ('0. GUIDELINES'!$E$3='[1]input-mpo'!$A:$A) * (O$7='[1]input-mpo'!$B:$B) * ($A20='[1]input-mpo'!$C:$C), '[1]input-mpo'!$D:$D)</f>
        <v>3290645.9880837202</v>
      </c>
      <c r="P20" s="303" cm="1">
        <f t="array" ref="P20">_xlfn.XLOOKUP(1, ('0. GUIDELINES'!$E$3='[1]input-mpo'!$A:$A) * (P$7='[1]input-mpo'!$B:$B) * ($A20='[1]input-mpo'!$C:$C), '[1]input-mpo'!$D:$D)</f>
        <v>3624568.8968428667</v>
      </c>
      <c r="Q20" s="303" cm="1">
        <f t="array" ref="Q20">_xlfn.XLOOKUP(1, ('0. GUIDELINES'!$E$3='[1]input-mpo'!$A:$A) * (Q$7='[1]input-mpo'!$B:$B) * ($A20='[1]input-mpo'!$C:$C), '[1]input-mpo'!$D:$D)</f>
        <v>3921215.2910934733</v>
      </c>
      <c r="R20" s="303" cm="1">
        <f t="array" ref="R20">_xlfn.XLOOKUP(1, ('0. GUIDELINES'!$E$3='[1]input-mpo'!$A:$A) * (R$7='[1]input-mpo'!$B:$B) * ($A20='[1]input-mpo'!$C:$C), '[1]input-mpo'!$D:$D)</f>
        <v>4313334.0087113464</v>
      </c>
      <c r="S20" s="303" cm="1">
        <f t="array" ref="S20">_xlfn.XLOOKUP(1, ('0. GUIDELINES'!$E$3='[1]input-mpo'!$A:$A) * (S$7='[1]input-mpo'!$B:$B) * ($A20='[1]input-mpo'!$C:$C), '[1]input-mpo'!$D:$D)</f>
        <v>4820974.0000000075</v>
      </c>
      <c r="T20" s="303" cm="1">
        <f t="array" ref="T20">_xlfn.XLOOKUP(1, ('0. GUIDELINES'!$E$3='[1]input-mpo'!$A:$A) * (T$7='[1]input-mpo'!$B:$B) * ($A20='[1]input-mpo'!$C:$C), '[1]input-mpo'!$D:$D)</f>
        <v>5195562.0000000112</v>
      </c>
      <c r="U20" s="303" cm="1">
        <f t="array" ref="U20">_xlfn.XLOOKUP(1, ('0. GUIDELINES'!$E$3='[1]input-mpo'!$A:$A) * (U$7='[1]input-mpo'!$B:$B) * ($A20='[1]input-mpo'!$C:$C), '[1]input-mpo'!$D:$D)</f>
        <v>5727768.0000000084</v>
      </c>
      <c r="V20" s="303" cm="1">
        <f t="array" ref="V20">_xlfn.XLOOKUP(1, ('0. GUIDELINES'!$E$3='[1]input-mpo'!$A:$A) * (V$7='[1]input-mpo'!$B:$B) * ($A20='[1]input-mpo'!$C:$C), '[1]input-mpo'!$D:$D)</f>
        <v>6416894.0000000028</v>
      </c>
      <c r="W20" s="303" cm="1">
        <f t="array" ref="W20">_xlfn.XLOOKUP(1, ('0. GUIDELINES'!$E$3='[1]input-mpo'!$A:$A) * (W$7='[1]input-mpo'!$B:$B) * ($A20='[1]input-mpo'!$C:$C), '[1]input-mpo'!$D:$D)</f>
        <v>6528770.0000000056</v>
      </c>
      <c r="X20" s="303" cm="1">
        <f t="array" ref="X20">_xlfn.XLOOKUP(1, ('0. GUIDELINES'!$E$3='[1]input-mpo'!$A:$A) * (X$7='[1]input-mpo'!$B:$B) * ($A20='[1]input-mpo'!$C:$C), '[1]input-mpo'!$D:$D)</f>
        <v>7252759.0000000056</v>
      </c>
      <c r="Y20" s="303" cm="1">
        <f t="array" ref="Y20">_xlfn.XLOOKUP(1, ('0. GUIDELINES'!$E$3='[1]input-mpo'!$A:$A) * (Y$7='[1]input-mpo'!$B:$B) * ($A20='[1]input-mpo'!$C:$C), '[1]input-mpo'!$D:$D)</f>
        <v>7996947.0000000056</v>
      </c>
      <c r="Z20" s="142" cm="1">
        <f t="array" ref="Z20">_xlfn.XLOOKUP(1, ('0. GUIDELINES'!$E$3='[1]input-mpo'!$A:$A) * (Z$7='[1]input-mpo'!$B:$B) * ($A20='[1]input-mpo'!$C:$C), '[1]input-mpo'!$D:$D)</f>
        <v>8704697.0000000037</v>
      </c>
      <c r="AA20" s="142" cm="1">
        <f t="array" ref="AA20">_xlfn.XLOOKUP(1, ('0. GUIDELINES'!$E$3='[1]input-mpo'!$A:$A) * (AA$7='[1]input-mpo'!$B:$B) * ($A20='[1]input-mpo'!$C:$C)* ($A$13='[1]input-mpo'!$F:$F), '[1]input-mpo'!$D:$D)</f>
        <v>9425469.8693869337</v>
      </c>
      <c r="AB20" s="142" cm="1">
        <f t="array" ref="AB20">_xlfn.XLOOKUP(1, ('0. GUIDELINES'!$E$3='[1]input-mpo'!$A:$A) * (AB$7='[1]input-mpo'!$B:$B) * ($A20='[1]input-mpo'!$C:$C)* ($A$13='[1]input-mpo'!$F:$F), '[1]input-mpo'!$D:$D)</f>
        <v>10110097.379626747</v>
      </c>
      <c r="AC20" s="142" cm="1">
        <f t="array" ref="AC20">_xlfn.XLOOKUP(1, ('0. GUIDELINES'!$E$3='[1]input-mpo'!$A:$A) * (AC$7='[1]input-mpo'!$B:$B) * ($A20='[1]input-mpo'!$C:$C)* ($A$13='[1]input-mpo'!$F:$F), '[1]input-mpo'!$D:$D)</f>
        <v>10721445.858785154</v>
      </c>
    </row>
    <row r="21" spans="1:29" ht="14.45" customHeight="1" x14ac:dyDescent="0.25">
      <c r="A21" s="89"/>
      <c r="B21" s="293"/>
      <c r="C21" s="93"/>
      <c r="D21" s="93"/>
      <c r="E21" s="93"/>
      <c r="F21" s="93"/>
      <c r="G21" s="93"/>
      <c r="H21" s="419" t="s">
        <v>33</v>
      </c>
      <c r="I21" s="420">
        <f t="shared" ref="I21" si="19">SUM(I22:I24)</f>
        <v>5960518.6878577694</v>
      </c>
      <c r="J21" s="420">
        <f>SUM(J22:J24)</f>
        <v>6347065.127147709</v>
      </c>
      <c r="K21" s="420">
        <f t="shared" ref="K21:Y21" si="20">SUM(K22:K24)</f>
        <v>6712807.3115040725</v>
      </c>
      <c r="L21" s="420">
        <f t="shared" si="20"/>
        <v>7053815.9255278539</v>
      </c>
      <c r="M21" s="420">
        <f t="shared" si="20"/>
        <v>7443809.369992692</v>
      </c>
      <c r="N21" s="420">
        <f t="shared" si="20"/>
        <v>7906563.1494958289</v>
      </c>
      <c r="O21" s="420">
        <f t="shared" si="20"/>
        <v>8426503.2127003036</v>
      </c>
      <c r="P21" s="420">
        <f t="shared" si="20"/>
        <v>8891153.7674323693</v>
      </c>
      <c r="Q21" s="420">
        <f t="shared" si="20"/>
        <v>9391224.0392250158</v>
      </c>
      <c r="R21" s="420">
        <f t="shared" si="20"/>
        <v>9936014.7463149913</v>
      </c>
      <c r="S21" s="420">
        <f t="shared" si="20"/>
        <v>10629823.999999996</v>
      </c>
      <c r="T21" s="420">
        <f t="shared" si="20"/>
        <v>11307473.999999993</v>
      </c>
      <c r="U21" s="420">
        <f t="shared" si="20"/>
        <v>12048522.999999996</v>
      </c>
      <c r="V21" s="420">
        <f t="shared" si="20"/>
        <v>12877439.000000004</v>
      </c>
      <c r="W21" s="420">
        <f t="shared" si="20"/>
        <v>13383890.999999987</v>
      </c>
      <c r="X21" s="420">
        <f t="shared" si="20"/>
        <v>14151078</v>
      </c>
      <c r="Y21" s="420">
        <f t="shared" si="20"/>
        <v>15036465</v>
      </c>
      <c r="Z21" s="421">
        <f t="shared" ref="Z21" si="21">SUM(Z22:Z24)</f>
        <v>15844110.000000006</v>
      </c>
      <c r="AA21" s="421">
        <f t="shared" ref="AA21:AC21" si="22">SUM(AA22:AA24)</f>
        <v>16737510.713175127</v>
      </c>
      <c r="AB21" s="421">
        <f t="shared" si="22"/>
        <v>17592770.072269551</v>
      </c>
      <c r="AC21" s="421">
        <f t="shared" si="22"/>
        <v>18616921.610366233</v>
      </c>
    </row>
    <row r="22" spans="1:29" ht="14.45" customHeight="1" x14ac:dyDescent="0.25">
      <c r="A22" s="89" t="s">
        <v>451</v>
      </c>
      <c r="B22" s="293"/>
      <c r="C22" s="93"/>
      <c r="D22" s="93"/>
      <c r="E22" s="93"/>
      <c r="F22" s="93"/>
      <c r="G22" s="93"/>
      <c r="H22" s="408" t="s">
        <v>448</v>
      </c>
      <c r="I22" s="303" cm="1">
        <f t="array" ref="I22">_xlfn.XLOOKUP(1, ('0. GUIDELINES'!$E$3='[1]input-mpo'!$A:$A) * (I$7='[1]input-mpo'!$B:$B) * ($A22='[1]input-mpo'!$C:$C), '[1]input-mpo'!$D:$D)</f>
        <v>1089387.0116116754</v>
      </c>
      <c r="J22" s="303" cm="1">
        <f t="array" ref="J22">_xlfn.XLOOKUP(1, ('0. GUIDELINES'!$E$3='[1]input-mpo'!$A:$A) * (J$7='[1]input-mpo'!$B:$B) * ($A22='[1]input-mpo'!$C:$C), '[1]input-mpo'!$D:$D)</f>
        <v>1192024.1190658992</v>
      </c>
      <c r="K22" s="303" cm="1">
        <f t="array" ref="K22">_xlfn.XLOOKUP(1, ('0. GUIDELINES'!$E$3='[1]input-mpo'!$A:$A) * (K$7='[1]input-mpo'!$B:$B) * ($A22='[1]input-mpo'!$C:$C), '[1]input-mpo'!$D:$D)</f>
        <v>1290440.2896587271</v>
      </c>
      <c r="L22" s="303" cm="1">
        <f t="array" ref="L22">_xlfn.XLOOKUP(1, ('0. GUIDELINES'!$E$3='[1]input-mpo'!$A:$A) * (L$7='[1]input-mpo'!$B:$B) * ($A22='[1]input-mpo'!$C:$C), '[1]input-mpo'!$D:$D)</f>
        <v>1394348.6908441028</v>
      </c>
      <c r="M22" s="303" cm="1">
        <f t="array" ref="M22">_xlfn.XLOOKUP(1, ('0. GUIDELINES'!$E$3='[1]input-mpo'!$A:$A) * (M$7='[1]input-mpo'!$B:$B) * ($A22='[1]input-mpo'!$C:$C), '[1]input-mpo'!$D:$D)</f>
        <v>1499600.0352543718</v>
      </c>
      <c r="N22" s="303" cm="1">
        <f t="array" ref="N22">_xlfn.XLOOKUP(1, ('0. GUIDELINES'!$E$3='[1]input-mpo'!$A:$A) * (N$7='[1]input-mpo'!$B:$B) * ($A22='[1]input-mpo'!$C:$C), '[1]input-mpo'!$D:$D)</f>
        <v>1626198.6126155974</v>
      </c>
      <c r="O22" s="303" cm="1">
        <f t="array" ref="O22">_xlfn.XLOOKUP(1, ('0. GUIDELINES'!$E$3='[1]input-mpo'!$A:$A) * (O$7='[1]input-mpo'!$B:$B) * ($A22='[1]input-mpo'!$C:$C), '[1]input-mpo'!$D:$D)</f>
        <v>1775008.3686144082</v>
      </c>
      <c r="P22" s="303" cm="1">
        <f t="array" ref="P22">_xlfn.XLOOKUP(1, ('0. GUIDELINES'!$E$3='[1]input-mpo'!$A:$A) * (P$7='[1]input-mpo'!$B:$B) * ($A22='[1]input-mpo'!$C:$C), '[1]input-mpo'!$D:$D)</f>
        <v>1886369.905718436</v>
      </c>
      <c r="Q22" s="303" cm="1">
        <f t="array" ref="Q22">_xlfn.XLOOKUP(1, ('0. GUIDELINES'!$E$3='[1]input-mpo'!$A:$A) * (Q$7='[1]input-mpo'!$B:$B) * ($A22='[1]input-mpo'!$C:$C), '[1]input-mpo'!$D:$D)</f>
        <v>2000432.4224525727</v>
      </c>
      <c r="R22" s="303" cm="1">
        <f t="array" ref="R22">_xlfn.XLOOKUP(1, ('0. GUIDELINES'!$E$3='[1]input-mpo'!$A:$A) * (R$7='[1]input-mpo'!$B:$B) * ($A22='[1]input-mpo'!$C:$C), '[1]input-mpo'!$D:$D)</f>
        <v>2119742.7495000451</v>
      </c>
      <c r="S22" s="303" cm="1">
        <f t="array" ref="S22">_xlfn.XLOOKUP(1, ('0. GUIDELINES'!$E$3='[1]input-mpo'!$A:$A) * (S$7='[1]input-mpo'!$B:$B) * ($A22='[1]input-mpo'!$C:$C), '[1]input-mpo'!$D:$D)</f>
        <v>1828632.0000000009</v>
      </c>
      <c r="T22" s="303" cm="1">
        <f t="array" ref="T22">_xlfn.XLOOKUP(1, ('0. GUIDELINES'!$E$3='[1]input-mpo'!$A:$A) * (T$7='[1]input-mpo'!$B:$B) * ($A22='[1]input-mpo'!$C:$C), '[1]input-mpo'!$D:$D)</f>
        <v>1946174.9999999995</v>
      </c>
      <c r="U22" s="303" cm="1">
        <f t="array" ref="U22">_xlfn.XLOOKUP(1, ('0. GUIDELINES'!$E$3='[1]input-mpo'!$A:$A) * (U$7='[1]input-mpo'!$B:$B) * ($A22='[1]input-mpo'!$C:$C), '[1]input-mpo'!$D:$D)</f>
        <v>2077381.9999999998</v>
      </c>
      <c r="V22" s="303" cm="1">
        <f t="array" ref="V22">_xlfn.XLOOKUP(1, ('0. GUIDELINES'!$E$3='[1]input-mpo'!$A:$A) * (V$7='[1]input-mpo'!$B:$B) * ($A22='[1]input-mpo'!$C:$C), '[1]input-mpo'!$D:$D)</f>
        <v>2223976.9999999981</v>
      </c>
      <c r="W22" s="303" cm="1">
        <f t="array" ref="W22">_xlfn.XLOOKUP(1, ('0. GUIDELINES'!$E$3='[1]input-mpo'!$A:$A) * (W$7='[1]input-mpo'!$B:$B) * ($A22='[1]input-mpo'!$C:$C), '[1]input-mpo'!$D:$D)</f>
        <v>2277384</v>
      </c>
      <c r="X22" s="303" cm="1">
        <f t="array" ref="X22">_xlfn.XLOOKUP(1, ('0. GUIDELINES'!$E$3='[1]input-mpo'!$A:$A) * (X$7='[1]input-mpo'!$B:$B) * ($A22='[1]input-mpo'!$C:$C), '[1]input-mpo'!$D:$D)</f>
        <v>2379450.9999999991</v>
      </c>
      <c r="Y22" s="303" cm="1">
        <f t="array" ref="Y22">_xlfn.XLOOKUP(1, ('0. GUIDELINES'!$E$3='[1]input-mpo'!$A:$A) * (Y$7='[1]input-mpo'!$B:$B) * ($A22='[1]input-mpo'!$C:$C), '[1]input-mpo'!$D:$D)</f>
        <v>2512898.0000000009</v>
      </c>
      <c r="Z22" s="142" cm="1">
        <f t="array" ref="Z22">_xlfn.XLOOKUP(1, ('0. GUIDELINES'!$E$3='[1]input-mpo'!$A:$A) * (Z$7='[1]input-mpo'!$B:$B) * ($A22='[1]input-mpo'!$C:$C), '[1]input-mpo'!$D:$D)</f>
        <v>2653981.9999999995</v>
      </c>
      <c r="AA22" s="142" cm="1">
        <f t="array" ref="AA22">_xlfn.XLOOKUP(1, ('0. GUIDELINES'!$E$3='[1]input-mpo'!$A:$A) * (AA$7='[1]input-mpo'!$B:$B) * ($A22='[1]input-mpo'!$C:$C)* ($A$13='[1]input-mpo'!$F:$F), '[1]input-mpo'!$D:$D)</f>
        <v>2832164.1531002247</v>
      </c>
      <c r="AB22" s="142" cm="1">
        <f t="array" ref="AB22">_xlfn.XLOOKUP(1, ('0. GUIDELINES'!$E$3='[1]input-mpo'!$A:$A) * (AB$7='[1]input-mpo'!$B:$B) * ($A22='[1]input-mpo'!$C:$C)* ($A$13='[1]input-mpo'!$F:$F), '[1]input-mpo'!$D:$D)</f>
        <v>3085849.1351467855</v>
      </c>
      <c r="AC22" s="142" cm="1">
        <f t="array" ref="AC22">_xlfn.XLOOKUP(1, ('0. GUIDELINES'!$E$3='[1]input-mpo'!$A:$A) * (AC$7='[1]input-mpo'!$B:$B) * ($A22='[1]input-mpo'!$C:$C)* ($A$13='[1]input-mpo'!$F:$F), '[1]input-mpo'!$D:$D)</f>
        <v>3362753.1412469191</v>
      </c>
    </row>
    <row r="23" spans="1:29" ht="14.45" customHeight="1" x14ac:dyDescent="0.25">
      <c r="A23" s="89" t="s">
        <v>452</v>
      </c>
      <c r="B23" s="293"/>
      <c r="C23" s="93"/>
      <c r="D23" s="93"/>
      <c r="E23" s="93"/>
      <c r="F23" s="93"/>
      <c r="G23" s="93"/>
      <c r="H23" s="408" t="s">
        <v>449</v>
      </c>
      <c r="I23" s="303" cm="1">
        <f t="array" ref="I23">_xlfn.XLOOKUP(1, ('0. GUIDELINES'!$E$3='[1]input-mpo'!$A:$A) * (I$7='[1]input-mpo'!$B:$B) * ($A23='[1]input-mpo'!$C:$C), '[1]input-mpo'!$D:$D)</f>
        <v>333065.6086300108</v>
      </c>
      <c r="J23" s="303" cm="1">
        <f t="array" ref="J23">_xlfn.XLOOKUP(1, ('0. GUIDELINES'!$E$3='[1]input-mpo'!$A:$A) * (J$7='[1]input-mpo'!$B:$B) * ($A23='[1]input-mpo'!$C:$C), '[1]input-mpo'!$D:$D)</f>
        <v>354693.1295083352</v>
      </c>
      <c r="K23" s="303" cm="1">
        <f t="array" ref="K23">_xlfn.XLOOKUP(1, ('0. GUIDELINES'!$E$3='[1]input-mpo'!$A:$A) * (K$7='[1]input-mpo'!$B:$B) * ($A23='[1]input-mpo'!$C:$C), '[1]input-mpo'!$D:$D)</f>
        <v>368602.04769215174</v>
      </c>
      <c r="L23" s="303" cm="1">
        <f t="array" ref="L23">_xlfn.XLOOKUP(1, ('0. GUIDELINES'!$E$3='[1]input-mpo'!$A:$A) * (L$7='[1]input-mpo'!$B:$B) * ($A23='[1]input-mpo'!$C:$C), '[1]input-mpo'!$D:$D)</f>
        <v>368499.70991025446</v>
      </c>
      <c r="M23" s="303" cm="1">
        <f t="array" ref="M23">_xlfn.XLOOKUP(1, ('0. GUIDELINES'!$E$3='[1]input-mpo'!$A:$A) * (M$7='[1]input-mpo'!$B:$B) * ($A23='[1]input-mpo'!$C:$C), '[1]input-mpo'!$D:$D)</f>
        <v>391515.75892287679</v>
      </c>
      <c r="N23" s="303" cm="1">
        <f t="array" ref="N23">_xlfn.XLOOKUP(1, ('0. GUIDELINES'!$E$3='[1]input-mpo'!$A:$A) * (N$7='[1]input-mpo'!$B:$B) * ($A23='[1]input-mpo'!$C:$C), '[1]input-mpo'!$D:$D)</f>
        <v>432404.62829480664</v>
      </c>
      <c r="O23" s="303" cm="1">
        <f t="array" ref="O23">_xlfn.XLOOKUP(1, ('0. GUIDELINES'!$E$3='[1]input-mpo'!$A:$A) * (O$7='[1]input-mpo'!$B:$B) * ($A23='[1]input-mpo'!$C:$C), '[1]input-mpo'!$D:$D)</f>
        <v>496220.23026814475</v>
      </c>
      <c r="P23" s="303" cm="1">
        <f t="array" ref="P23">_xlfn.XLOOKUP(1, ('0. GUIDELINES'!$E$3='[1]input-mpo'!$A:$A) * (P$7='[1]input-mpo'!$B:$B) * ($A23='[1]input-mpo'!$C:$C), '[1]input-mpo'!$D:$D)</f>
        <v>541439.49604778807</v>
      </c>
      <c r="Q23" s="303" cm="1">
        <f t="array" ref="Q23">_xlfn.XLOOKUP(1, ('0. GUIDELINES'!$E$3='[1]input-mpo'!$A:$A) * (Q$7='[1]input-mpo'!$B:$B) * ($A23='[1]input-mpo'!$C:$C), '[1]input-mpo'!$D:$D)</f>
        <v>580809.62582266971</v>
      </c>
      <c r="R23" s="303" cm="1">
        <f t="array" ref="R23">_xlfn.XLOOKUP(1, ('0. GUIDELINES'!$E$3='[1]input-mpo'!$A:$A) * (R$7='[1]input-mpo'!$B:$B) * ($A23='[1]input-mpo'!$C:$C), '[1]input-mpo'!$D:$D)</f>
        <v>626006.6943772349</v>
      </c>
      <c r="S23" s="303" cm="1">
        <f t="array" ref="S23">_xlfn.XLOOKUP(1, ('0. GUIDELINES'!$E$3='[1]input-mpo'!$A:$A) * (S$7='[1]input-mpo'!$B:$B) * ($A23='[1]input-mpo'!$C:$C), '[1]input-mpo'!$D:$D)</f>
        <v>650715.99999999884</v>
      </c>
      <c r="T23" s="303" cm="1">
        <f t="array" ref="T23">_xlfn.XLOOKUP(1, ('0. GUIDELINES'!$E$3='[1]input-mpo'!$A:$A) * (T$7='[1]input-mpo'!$B:$B) * ($A23='[1]input-mpo'!$C:$C), '[1]input-mpo'!$D:$D)</f>
        <v>685233.9999999993</v>
      </c>
      <c r="U23" s="303" cm="1">
        <f t="array" ref="U23">_xlfn.XLOOKUP(1, ('0. GUIDELINES'!$E$3='[1]input-mpo'!$A:$A) * (U$7='[1]input-mpo'!$B:$B) * ($A23='[1]input-mpo'!$C:$C), '[1]input-mpo'!$D:$D)</f>
        <v>732782.99999999977</v>
      </c>
      <c r="V23" s="303" cm="1">
        <f t="array" ref="V23">_xlfn.XLOOKUP(1, ('0. GUIDELINES'!$E$3='[1]input-mpo'!$A:$A) * (V$7='[1]input-mpo'!$B:$B) * ($A23='[1]input-mpo'!$C:$C), '[1]input-mpo'!$D:$D)</f>
        <v>793237.00000000012</v>
      </c>
      <c r="W23" s="303" cm="1">
        <f t="array" ref="W23">_xlfn.XLOOKUP(1, ('0. GUIDELINES'!$E$3='[1]input-mpo'!$A:$A) * (W$7='[1]input-mpo'!$B:$B) * ($A23='[1]input-mpo'!$C:$C), '[1]input-mpo'!$D:$D)</f>
        <v>830678.99999999988</v>
      </c>
      <c r="X23" s="303" cm="1">
        <f t="array" ref="X23">_xlfn.XLOOKUP(1, ('0. GUIDELINES'!$E$3='[1]input-mpo'!$A:$A) * (X$7='[1]input-mpo'!$B:$B) * ($A23='[1]input-mpo'!$C:$C), '[1]input-mpo'!$D:$D)</f>
        <v>879009.00000000058</v>
      </c>
      <c r="Y23" s="303" cm="1">
        <f t="array" ref="Y23">_xlfn.XLOOKUP(1, ('0. GUIDELINES'!$E$3='[1]input-mpo'!$A:$A) * (Y$7='[1]input-mpo'!$B:$B) * ($A23='[1]input-mpo'!$C:$C), '[1]input-mpo'!$D:$D)</f>
        <v>930615.00000000023</v>
      </c>
      <c r="Z23" s="142" cm="1">
        <f t="array" ref="Z23">_xlfn.XLOOKUP(1, ('0. GUIDELINES'!$E$3='[1]input-mpo'!$A:$A) * (Z$7='[1]input-mpo'!$B:$B) * ($A23='[1]input-mpo'!$C:$C), '[1]input-mpo'!$D:$D)</f>
        <v>954326.00000000035</v>
      </c>
      <c r="AA23" s="142" cm="1">
        <f t="array" ref="AA23">_xlfn.XLOOKUP(1, ('0. GUIDELINES'!$E$3='[1]input-mpo'!$A:$A) * (AA$7='[1]input-mpo'!$B:$B) * ($A23='[1]input-mpo'!$C:$C)* ($A$13='[1]input-mpo'!$F:$F), '[1]input-mpo'!$D:$D)</f>
        <v>1017246.3249432732</v>
      </c>
      <c r="AB23" s="142" cm="1">
        <f t="array" ref="AB23">_xlfn.XLOOKUP(1, ('0. GUIDELINES'!$E$3='[1]input-mpo'!$A:$A) * (AB$7='[1]input-mpo'!$B:$B) * ($A23='[1]input-mpo'!$C:$C)* ($A$13='[1]input-mpo'!$F:$F), '[1]input-mpo'!$D:$D)</f>
        <v>1086419.0750394159</v>
      </c>
      <c r="AC23" s="142" cm="1">
        <f t="array" ref="AC23">_xlfn.XLOOKUP(1, ('0. GUIDELINES'!$E$3='[1]input-mpo'!$A:$A) * (AC$7='[1]input-mpo'!$B:$B) * ($A23='[1]input-mpo'!$C:$C)* ($A$13='[1]input-mpo'!$F:$F), '[1]input-mpo'!$D:$D)</f>
        <v>1175505.439192648</v>
      </c>
    </row>
    <row r="24" spans="1:29" ht="14.45" customHeight="1" x14ac:dyDescent="0.25">
      <c r="A24" s="89" t="s">
        <v>453</v>
      </c>
      <c r="B24" s="293"/>
      <c r="C24" s="93"/>
      <c r="D24" s="93"/>
      <c r="E24" s="93"/>
      <c r="F24" s="93"/>
      <c r="G24" s="93"/>
      <c r="H24" s="408" t="s">
        <v>450</v>
      </c>
      <c r="I24" s="303" cm="1">
        <f t="array" ref="I24">_xlfn.XLOOKUP(1, ('0. GUIDELINES'!$E$3='[1]input-mpo'!$A:$A) * (I$7='[1]input-mpo'!$B:$B) * ($A24='[1]input-mpo'!$C:$C), '[1]input-mpo'!$D:$D)</f>
        <v>4538066.0676160827</v>
      </c>
      <c r="J24" s="303" cm="1">
        <f t="array" ref="J24">_xlfn.XLOOKUP(1, ('0. GUIDELINES'!$E$3='[1]input-mpo'!$A:$A) * (J$7='[1]input-mpo'!$B:$B) * ($A24='[1]input-mpo'!$C:$C), '[1]input-mpo'!$D:$D)</f>
        <v>4800347.8785734745</v>
      </c>
      <c r="K24" s="303" cm="1">
        <f t="array" ref="K24">_xlfn.XLOOKUP(1, ('0. GUIDELINES'!$E$3='[1]input-mpo'!$A:$A) * (K$7='[1]input-mpo'!$B:$B) * ($A24='[1]input-mpo'!$C:$C), '[1]input-mpo'!$D:$D)</f>
        <v>5053764.9741531936</v>
      </c>
      <c r="L24" s="303" cm="1">
        <f t="array" ref="L24">_xlfn.XLOOKUP(1, ('0. GUIDELINES'!$E$3='[1]input-mpo'!$A:$A) * (L$7='[1]input-mpo'!$B:$B) * ($A24='[1]input-mpo'!$C:$C), '[1]input-mpo'!$D:$D)</f>
        <v>5290967.5247734971</v>
      </c>
      <c r="M24" s="303" cm="1">
        <f t="array" ref="M24">_xlfn.XLOOKUP(1, ('0. GUIDELINES'!$E$3='[1]input-mpo'!$A:$A) * (M$7='[1]input-mpo'!$B:$B) * ($A24='[1]input-mpo'!$C:$C), '[1]input-mpo'!$D:$D)</f>
        <v>5552693.5758154429</v>
      </c>
      <c r="N24" s="303" cm="1">
        <f t="array" ref="N24">_xlfn.XLOOKUP(1, ('0. GUIDELINES'!$E$3='[1]input-mpo'!$A:$A) * (N$7='[1]input-mpo'!$B:$B) * ($A24='[1]input-mpo'!$C:$C), '[1]input-mpo'!$D:$D)</f>
        <v>5847959.9085854245</v>
      </c>
      <c r="O24" s="303" cm="1">
        <f t="array" ref="O24">_xlfn.XLOOKUP(1, ('0. GUIDELINES'!$E$3='[1]input-mpo'!$A:$A) * (O$7='[1]input-mpo'!$B:$B) * ($A24='[1]input-mpo'!$C:$C), '[1]input-mpo'!$D:$D)</f>
        <v>6155274.6138177505</v>
      </c>
      <c r="P24" s="303" cm="1">
        <f t="array" ref="P24">_xlfn.XLOOKUP(1, ('0. GUIDELINES'!$E$3='[1]input-mpo'!$A:$A) * (P$7='[1]input-mpo'!$B:$B) * ($A24='[1]input-mpo'!$C:$C), '[1]input-mpo'!$D:$D)</f>
        <v>6463344.3656661455</v>
      </c>
      <c r="Q24" s="303" cm="1">
        <f t="array" ref="Q24">_xlfn.XLOOKUP(1, ('0. GUIDELINES'!$E$3='[1]input-mpo'!$A:$A) * (Q$7='[1]input-mpo'!$B:$B) * ($A24='[1]input-mpo'!$C:$C), '[1]input-mpo'!$D:$D)</f>
        <v>6809981.9909497732</v>
      </c>
      <c r="R24" s="303" cm="1">
        <f t="array" ref="R24">_xlfn.XLOOKUP(1, ('0. GUIDELINES'!$E$3='[1]input-mpo'!$A:$A) * (R$7='[1]input-mpo'!$B:$B) * ($A24='[1]input-mpo'!$C:$C), '[1]input-mpo'!$D:$D)</f>
        <v>7190265.3024377115</v>
      </c>
      <c r="S24" s="303" cm="1">
        <f t="array" ref="S24">_xlfn.XLOOKUP(1, ('0. GUIDELINES'!$E$3='[1]input-mpo'!$A:$A) * (S$7='[1]input-mpo'!$B:$B) * ($A24='[1]input-mpo'!$C:$C), '[1]input-mpo'!$D:$D)</f>
        <v>8150475.9999999963</v>
      </c>
      <c r="T24" s="303" cm="1">
        <f t="array" ref="T24">_xlfn.XLOOKUP(1, ('0. GUIDELINES'!$E$3='[1]input-mpo'!$A:$A) * (T$7='[1]input-mpo'!$B:$B) * ($A24='[1]input-mpo'!$C:$C), '[1]input-mpo'!$D:$D)</f>
        <v>8676064.9999999925</v>
      </c>
      <c r="U24" s="303" cm="1">
        <f t="array" ref="U24">_xlfn.XLOOKUP(1, ('0. GUIDELINES'!$E$3='[1]input-mpo'!$A:$A) * (U$7='[1]input-mpo'!$B:$B) * ($A24='[1]input-mpo'!$C:$C), '[1]input-mpo'!$D:$D)</f>
        <v>9238357.9999999963</v>
      </c>
      <c r="V24" s="303" cm="1">
        <f t="array" ref="V24">_xlfn.XLOOKUP(1, ('0. GUIDELINES'!$E$3='[1]input-mpo'!$A:$A) * (V$7='[1]input-mpo'!$B:$B) * ($A24='[1]input-mpo'!$C:$C), '[1]input-mpo'!$D:$D)</f>
        <v>9860225.0000000056</v>
      </c>
      <c r="W24" s="303" cm="1">
        <f t="array" ref="W24">_xlfn.XLOOKUP(1, ('0. GUIDELINES'!$E$3='[1]input-mpo'!$A:$A) * (W$7='[1]input-mpo'!$B:$B) * ($A24='[1]input-mpo'!$C:$C), '[1]input-mpo'!$D:$D)</f>
        <v>10275827.999999987</v>
      </c>
      <c r="X24" s="303" cm="1">
        <f t="array" ref="X24">_xlfn.XLOOKUP(1, ('0. GUIDELINES'!$E$3='[1]input-mpo'!$A:$A) * (X$7='[1]input-mpo'!$B:$B) * ($A24='[1]input-mpo'!$C:$C), '[1]input-mpo'!$D:$D)</f>
        <v>10892618</v>
      </c>
      <c r="Y24" s="303" cm="1">
        <f t="array" ref="Y24">_xlfn.XLOOKUP(1, ('0. GUIDELINES'!$E$3='[1]input-mpo'!$A:$A) * (Y$7='[1]input-mpo'!$B:$B) * ($A24='[1]input-mpo'!$C:$C), '[1]input-mpo'!$D:$D)</f>
        <v>11592952</v>
      </c>
      <c r="Z24" s="142" cm="1">
        <f t="array" ref="Z24">_xlfn.XLOOKUP(1, ('0. GUIDELINES'!$E$3='[1]input-mpo'!$A:$A) * (Z$7='[1]input-mpo'!$B:$B) * ($A24='[1]input-mpo'!$C:$C), '[1]input-mpo'!$D:$D)</f>
        <v>12235802.000000006</v>
      </c>
      <c r="AA24" s="142" cm="1">
        <f t="array" ref="AA24">_xlfn.XLOOKUP(1, ('0. GUIDELINES'!$E$3='[1]input-mpo'!$A:$A) * (AA$7='[1]input-mpo'!$B:$B) * ($A24='[1]input-mpo'!$C:$C)* ($A$13='[1]input-mpo'!$F:$F), '[1]input-mpo'!$D:$D)</f>
        <v>12888100.235131629</v>
      </c>
      <c r="AB24" s="142" cm="1">
        <f t="array" ref="AB24">_xlfn.XLOOKUP(1, ('0. GUIDELINES'!$E$3='[1]input-mpo'!$A:$A) * (AB$7='[1]input-mpo'!$B:$B) * ($A24='[1]input-mpo'!$C:$C)* ($A$13='[1]input-mpo'!$F:$F), '[1]input-mpo'!$D:$D)</f>
        <v>13420501.862083349</v>
      </c>
      <c r="AC24" s="142" cm="1">
        <f t="array" ref="AC24">_xlfn.XLOOKUP(1, ('0. GUIDELINES'!$E$3='[1]input-mpo'!$A:$A) * (AC$7='[1]input-mpo'!$B:$B) * ($A24='[1]input-mpo'!$C:$C)* ($A$13='[1]input-mpo'!$F:$F), '[1]input-mpo'!$D:$D)</f>
        <v>14078663.029926665</v>
      </c>
    </row>
    <row r="25" spans="1:29" ht="14.45" customHeight="1" x14ac:dyDescent="0.25">
      <c r="A25" s="89" t="s">
        <v>459</v>
      </c>
      <c r="B25" s="293"/>
      <c r="C25" s="93"/>
      <c r="D25" s="93"/>
      <c r="E25" s="93"/>
      <c r="F25" s="93"/>
      <c r="G25" s="93"/>
      <c r="H25" s="418" t="s">
        <v>456</v>
      </c>
      <c r="I25" s="431" cm="1">
        <f t="array" ref="I25">_xlfn.XLOOKUP(1, ('0. GUIDELINES'!$E$3='[1]input-mpo'!$A:$A) * (I$7='[1]input-mpo'!$B:$B) * ($A25='[1]input-mpo'!$C:$C), '[1]input-mpo'!$D:$D)</f>
        <v>80415.361638355738</v>
      </c>
      <c r="J25" s="431" cm="1">
        <f t="array" ref="J25">_xlfn.XLOOKUP(1, ('0. GUIDELINES'!$E$3='[1]input-mpo'!$A:$A) * (J$7='[1]input-mpo'!$B:$B) * ($A25='[1]input-mpo'!$C:$C), '[1]input-mpo'!$D:$D)</f>
        <v>85042.148322798734</v>
      </c>
      <c r="K25" s="432" cm="1">
        <f t="array" ref="K25">_xlfn.XLOOKUP(1, ('0. GUIDELINES'!$E$3='[1]input-mpo'!$A:$A) * (K$7='[1]input-mpo'!$B:$B) * ($A25='[1]input-mpo'!$C:$C), '[1]input-mpo'!$D:$D)</f>
        <v>89129.287072224572</v>
      </c>
      <c r="L25" s="432" cm="1">
        <f t="array" ref="L25">_xlfn.XLOOKUP(1, ('0. GUIDELINES'!$E$3='[1]input-mpo'!$A:$A) * (L$7='[1]input-mpo'!$B:$B) * ($A25='[1]input-mpo'!$C:$C), '[1]input-mpo'!$D:$D)</f>
        <v>92585.931780784973</v>
      </c>
      <c r="M25" s="432" cm="1">
        <f t="array" ref="M25">_xlfn.XLOOKUP(1, ('0. GUIDELINES'!$E$3='[1]input-mpo'!$A:$A) * (M$7='[1]input-mpo'!$B:$B) * ($A25='[1]input-mpo'!$C:$C), '[1]input-mpo'!$D:$D)</f>
        <v>96651.777942560075</v>
      </c>
      <c r="N25" s="432" cm="1">
        <f t="array" ref="N25">_xlfn.XLOOKUP(1, ('0. GUIDELINES'!$E$3='[1]input-mpo'!$A:$A) * (N$7='[1]input-mpo'!$B:$B) * ($A25='[1]input-mpo'!$C:$C), '[1]input-mpo'!$D:$D)</f>
        <v>101729.22205397335</v>
      </c>
      <c r="O25" s="432" cm="1">
        <f t="array" ref="O25">_xlfn.XLOOKUP(1, ('0. GUIDELINES'!$E$3='[1]input-mpo'!$A:$A) * (O$7='[1]input-mpo'!$B:$B) * ($A25='[1]input-mpo'!$C:$C), '[1]input-mpo'!$D:$D)</f>
        <v>107119.8089632223</v>
      </c>
      <c r="P25" s="432" cm="1">
        <f t="array" ref="P25">_xlfn.XLOOKUP(1, ('0. GUIDELINES'!$E$3='[1]input-mpo'!$A:$A) * (P$7='[1]input-mpo'!$B:$B) * ($A25='[1]input-mpo'!$C:$C), '[1]input-mpo'!$D:$D)</f>
        <v>111331.95859154221</v>
      </c>
      <c r="Q25" s="432" cm="1">
        <f t="array" ref="Q25">_xlfn.XLOOKUP(1, ('0. GUIDELINES'!$E$3='[1]input-mpo'!$A:$A) * (Q$7='[1]input-mpo'!$B:$B) * ($A25='[1]input-mpo'!$C:$C), '[1]input-mpo'!$D:$D)</f>
        <v>116617.79199981937</v>
      </c>
      <c r="R25" s="432" cm="1">
        <f t="array" ref="R25">_xlfn.XLOOKUP(1, ('0. GUIDELINES'!$E$3='[1]input-mpo'!$A:$A) * (R$7='[1]input-mpo'!$B:$B) * ($A25='[1]input-mpo'!$C:$C), '[1]input-mpo'!$D:$D)</f>
        <v>122788.11761099272</v>
      </c>
      <c r="S25" s="432" cm="1">
        <f t="array" ref="S25">_xlfn.XLOOKUP(1, ('0. GUIDELINES'!$E$3='[1]input-mpo'!$A:$A) * (S$7='[1]input-mpo'!$B:$B) * ($A25='[1]input-mpo'!$C:$C), '[1]input-mpo'!$D:$D)</f>
        <v>129913.75281051081</v>
      </c>
      <c r="T25" s="432" cm="1">
        <f t="array" ref="T25">_xlfn.XLOOKUP(1, ('0. GUIDELINES'!$E$3='[1]input-mpo'!$A:$A) * (T$7='[1]input-mpo'!$B:$B) * ($A25='[1]input-mpo'!$C:$C), '[1]input-mpo'!$D:$D)</f>
        <v>136755.59614819754</v>
      </c>
      <c r="U25" s="432" cm="1">
        <f t="array" ref="U25">_xlfn.XLOOKUP(1, ('0. GUIDELINES'!$E$3='[1]input-mpo'!$A:$A) * (U$7='[1]input-mpo'!$B:$B) * ($A25='[1]input-mpo'!$C:$C), '[1]input-mpo'!$D:$D)</f>
        <v>145070.65499967933</v>
      </c>
      <c r="V25" s="432" cm="1">
        <f t="array" ref="V25">_xlfn.XLOOKUP(1, ('0. GUIDELINES'!$E$3='[1]input-mpo'!$A:$A) * (V$7='[1]input-mpo'!$B:$B) * ($A25='[1]input-mpo'!$C:$C), '[1]input-mpo'!$D:$D)</f>
        <v>154772.47903833861</v>
      </c>
      <c r="W25" s="432" cm="1">
        <f t="array" ref="W25">_xlfn.XLOOKUP(1, ('0. GUIDELINES'!$E$3='[1]input-mpo'!$A:$A) * (W$7='[1]input-mpo'!$B:$B) * ($A25='[1]input-mpo'!$C:$C), '[1]input-mpo'!$D:$D)</f>
        <v>158287.54311639283</v>
      </c>
      <c r="X25" s="432" cm="1">
        <f t="array" ref="X25">_xlfn.XLOOKUP(1, ('0. GUIDELINES'!$E$3='[1]input-mpo'!$A:$A) * (X$7='[1]input-mpo'!$B:$B) * ($A25='[1]input-mpo'!$C:$C), '[1]input-mpo'!$D:$D)</f>
        <v>167336.27387630352</v>
      </c>
      <c r="Y25" s="432" cm="1">
        <f t="array" ref="Y25">_xlfn.XLOOKUP(1, ('0. GUIDELINES'!$E$3='[1]input-mpo'!$A:$A) * (Y$7='[1]input-mpo'!$B:$B) * ($A25='[1]input-mpo'!$C:$C), '[1]input-mpo'!$D:$D)</f>
        <v>177300.88247152706</v>
      </c>
      <c r="Z25" s="433" cm="1">
        <f t="array" ref="Z25">_xlfn.XLOOKUP(1, ('0. GUIDELINES'!$E$3='[1]input-mpo'!$A:$A) * (Z$7='[1]input-mpo'!$B:$B) * ($A25='[1]input-mpo'!$C:$C), '[1]input-mpo'!$D:$D)</f>
        <v>185623.17024300501</v>
      </c>
      <c r="AA25" s="433" cm="1">
        <f t="array" ref="AA25">_xlfn.XLOOKUP(1, ('0. GUIDELINES'!$E$3='[1]input-mpo'!$A:$A) * (AA$7='[1]input-mpo'!$B:$B) * ($A25='[1]input-mpo'!$C:$C)* ($A$13='[1]input-mpo'!$F:$F), '[1]input-mpo'!$D:$D)</f>
        <v>194137.08575426164</v>
      </c>
      <c r="AB25" s="433" cm="1">
        <f t="array" ref="AB25">_xlfn.XLOOKUP(1, ('0. GUIDELINES'!$E$3='[1]input-mpo'!$A:$A) * (AB$7='[1]input-mpo'!$B:$B) * ($A25='[1]input-mpo'!$C:$C)* ($A$13='[1]input-mpo'!$F:$F), '[1]input-mpo'!$D:$D)</f>
        <v>203167.38854920864</v>
      </c>
      <c r="AC25" s="433" cm="1">
        <f t="array" ref="AC25">_xlfn.XLOOKUP(1, ('0. GUIDELINES'!$E$3='[1]input-mpo'!$A:$A) * (AC$7='[1]input-mpo'!$B:$B) * ($A25='[1]input-mpo'!$C:$C)* ($A$13='[1]input-mpo'!$F:$F), '[1]input-mpo'!$D:$D)</f>
        <v>213163.30734638392</v>
      </c>
    </row>
    <row r="26" spans="1:29" ht="14.45" customHeight="1" x14ac:dyDescent="0.25">
      <c r="A26" s="89"/>
      <c r="B26" s="293"/>
      <c r="C26" s="93"/>
      <c r="D26" s="93"/>
      <c r="E26" s="93"/>
      <c r="F26" s="93"/>
      <c r="G26" s="93"/>
      <c r="H26" s="426"/>
      <c r="I26" s="429"/>
      <c r="J26" s="429"/>
      <c r="K26" s="429"/>
      <c r="L26" s="429"/>
      <c r="M26" s="429"/>
      <c r="N26" s="429"/>
      <c r="O26" s="429"/>
      <c r="P26" s="429"/>
      <c r="Q26" s="429"/>
      <c r="R26" s="429"/>
      <c r="S26" s="429"/>
      <c r="T26" s="429"/>
      <c r="U26" s="429"/>
      <c r="V26" s="429"/>
      <c r="W26" s="429"/>
      <c r="X26" s="429"/>
      <c r="Y26" s="429"/>
      <c r="Z26" s="430"/>
      <c r="AA26" s="430"/>
      <c r="AB26" s="430"/>
      <c r="AC26" s="430"/>
    </row>
    <row r="27" spans="1:29" ht="14.45" customHeight="1" x14ac:dyDescent="0.25">
      <c r="A27" s="89" t="s">
        <v>455</v>
      </c>
      <c r="B27" s="293"/>
      <c r="C27" s="93"/>
      <c r="D27" s="93"/>
      <c r="E27" s="93"/>
      <c r="F27" s="93"/>
      <c r="G27" s="93"/>
      <c r="H27" s="418" t="s">
        <v>461</v>
      </c>
      <c r="I27" s="427" t="e" cm="1">
        <f t="array" ref="I27">_xlfn.XLOOKUP(1, ('0. GUIDELINES'!$E$3='[1]input-mpo'!$A:$A) * (I$7='[1]input-mpo'!$B:$B) * ($A27='[1]input-mpo'!$C:$C), '[1]input-mpo'!$D:$D)</f>
        <v>#N/A</v>
      </c>
      <c r="J27" s="427" cm="1">
        <f t="array" ref="J27">_xlfn.XLOOKUP(1, ('0. GUIDELINES'!$E$3='[1]input-mpo'!$A:$A) * (J$7='[1]input-mpo'!$B:$B) * ($A27='[1]input-mpo'!$C:$C), '[1]input-mpo'!$D:$D)</f>
        <v>144135940.55175781</v>
      </c>
      <c r="K27" s="427" cm="1">
        <f t="array" ref="K27">_xlfn.XLOOKUP(1, ('0. GUIDELINES'!$E$3='[1]input-mpo'!$A:$A) * (K$7='[1]input-mpo'!$B:$B) * ($A27='[1]input-mpo'!$C:$C), '[1]input-mpo'!$D:$D)</f>
        <v>145421310.42480469</v>
      </c>
      <c r="L27" s="427" cm="1">
        <f t="array" ref="L27">_xlfn.XLOOKUP(1, ('0. GUIDELINES'!$E$3='[1]input-mpo'!$A:$A) * (L$7='[1]input-mpo'!$B:$B) * ($A27='[1]input-mpo'!$C:$C), '[1]input-mpo'!$D:$D)</f>
        <v>146706817.62695313</v>
      </c>
      <c r="M27" s="427" cm="1">
        <f t="array" ref="M27">_xlfn.XLOOKUP(1, ('0. GUIDELINES'!$E$3='[1]input-mpo'!$A:$A) * (M$7='[1]input-mpo'!$B:$B) * ($A27='[1]input-mpo'!$C:$C), '[1]input-mpo'!$D:$D)</f>
        <v>148391143.79882813</v>
      </c>
      <c r="N27" s="427" cm="1">
        <f t="array" ref="N27">_xlfn.XLOOKUP(1, ('0. GUIDELINES'!$E$3='[1]input-mpo'!$A:$A) * (N$7='[1]input-mpo'!$B:$B) * ($A27='[1]input-mpo'!$C:$C), '[1]input-mpo'!$D:$D)</f>
        <v>150210998.53515625</v>
      </c>
      <c r="O27" s="427" cm="1">
        <f t="array" ref="O27">_xlfn.XLOOKUP(1, ('0. GUIDELINES'!$E$3='[1]input-mpo'!$A:$A) * (O$7='[1]input-mpo'!$B:$B) * ($A27='[1]input-mpo'!$C:$C), '[1]input-mpo'!$D:$D)</f>
        <v>152090652.46582031</v>
      </c>
      <c r="P27" s="427" cm="1">
        <f t="array" ref="P27">_xlfn.XLOOKUP(1, ('0. GUIDELINES'!$E$3='[1]input-mpo'!$A:$A) * (P$7='[1]input-mpo'!$B:$B) * ($A27='[1]input-mpo'!$C:$C), '[1]input-mpo'!$D:$D)</f>
        <v>154030136.10839844</v>
      </c>
      <c r="Q27" s="427" cm="1">
        <f t="array" ref="Q27">_xlfn.XLOOKUP(1, ('0. GUIDELINES'!$E$3='[1]input-mpo'!$A:$A) * (Q$7='[1]input-mpo'!$B:$B) * ($A27='[1]input-mpo'!$C:$C), '[1]input-mpo'!$D:$D)</f>
        <v>155961303.7109375</v>
      </c>
      <c r="R27" s="427" cm="1">
        <f t="array" ref="R27">_xlfn.XLOOKUP(1, ('0. GUIDELINES'!$E$3='[1]input-mpo'!$A:$A) * (R$7='[1]input-mpo'!$B:$B) * ($A27='[1]input-mpo'!$C:$C), '[1]input-mpo'!$D:$D)</f>
        <v>157830001.83105469</v>
      </c>
      <c r="S27" s="427" cm="1">
        <f t="array" ref="S27">_xlfn.XLOOKUP(1, ('0. GUIDELINES'!$E$3='[1]input-mpo'!$A:$A) * (S$7='[1]input-mpo'!$B:$B) * ($A27='[1]input-mpo'!$C:$C), '[1]input-mpo'!$D:$D)</f>
        <v>159784561.15722656</v>
      </c>
      <c r="T27" s="427" cm="1">
        <f t="array" ref="T27">_xlfn.XLOOKUP(1, ('0. GUIDELINES'!$E$3='[1]input-mpo'!$A:$A) * (T$7='[1]input-mpo'!$B:$B) * ($A27='[1]input-mpo'!$C:$C), '[1]input-mpo'!$D:$D)</f>
        <v>161793960.57128906</v>
      </c>
      <c r="U27" s="427" cm="1">
        <f t="array" ref="U27">_xlfn.XLOOKUP(1, ('0. GUIDELINES'!$E$3='[1]input-mpo'!$A:$A) * (U$7='[1]input-mpo'!$B:$B) * ($A27='[1]input-mpo'!$C:$C), '[1]input-mpo'!$D:$D)</f>
        <v>163683959.9609375</v>
      </c>
      <c r="V27" s="427" cm="1">
        <f t="array" ref="V27">_xlfn.XLOOKUP(1, ('0. GUIDELINES'!$E$3='[1]input-mpo'!$A:$A) * (V$7='[1]input-mpo'!$B:$B) * ($A27='[1]input-mpo'!$C:$C), '[1]input-mpo'!$D:$D)</f>
        <v>165516220.09277344</v>
      </c>
      <c r="W27" s="427" cm="1">
        <f t="array" ref="W27">_xlfn.XLOOKUP(1, ('0. GUIDELINES'!$E$3='[1]input-mpo'!$A:$A) * (W$7='[1]input-mpo'!$B:$B) * ($A27='[1]input-mpo'!$C:$C), '[1]input-mpo'!$D:$D)</f>
        <v>167420944.21386719</v>
      </c>
      <c r="X27" s="427" cm="1">
        <f t="array" ref="X27">_xlfn.XLOOKUP(1, ('0. GUIDELINES'!$E$3='[1]input-mpo'!$A:$A) * (X$7='[1]input-mpo'!$B:$B) * ($A27='[1]input-mpo'!$C:$C), '[1]input-mpo'!$D:$D)</f>
        <v>169356246.94824219</v>
      </c>
      <c r="Y27" s="427" cm="1">
        <f t="array" ref="Y27">_xlfn.XLOOKUP(1, ('0. GUIDELINES'!$E$3='[1]input-mpo'!$A:$A) * (Y$7='[1]input-mpo'!$B:$B) * ($A27='[1]input-mpo'!$C:$C), '[1]input-mpo'!$D:$D)</f>
        <v>171186370.84960938</v>
      </c>
      <c r="Z27" s="428" cm="1">
        <f t="array" ref="Z27">_xlfn.XLOOKUP(1, ('0. GUIDELINES'!$E$3='[1]input-mpo'!$A:$A) * (Z$7='[1]input-mpo'!$B:$B) * ($A27='[1]input-mpo'!$C:$C), '[1]input-mpo'!$D:$D)</f>
        <v>172954315.18554688</v>
      </c>
      <c r="AA27" s="428" cm="1">
        <f t="array" ref="AA27">_xlfn.XLOOKUP(1, ('0. GUIDELINES'!$E$3='[1]input-mpo'!$A:$A) * (AA$7='[1]input-mpo'!$B:$B) * ($A27='[1]input-mpo'!$C:$C), '[1]input-mpo'!$D:$D)</f>
        <v>174701217.65136719</v>
      </c>
      <c r="AB27" s="428" cm="1">
        <f t="array" ref="AB27">_xlfn.XLOOKUP(1, ('0. GUIDELINES'!$E$3='[1]input-mpo'!$A:$A) * (AB$7='[1]input-mpo'!$B:$B) * ($A27='[1]input-mpo'!$C:$C), '[1]input-mpo'!$D:$D)</f>
        <v>176421508.7890625</v>
      </c>
      <c r="AC27" s="428" cm="1">
        <f t="array" ref="AC27">_xlfn.XLOOKUP(1, ('0. GUIDELINES'!$E$3='[1]input-mpo'!$A:$A) * (AC$7='[1]input-mpo'!$B:$B) * ($A27='[1]input-mpo'!$C:$C), '[1]input-mpo'!$D:$D)</f>
        <v>178106140.13671875</v>
      </c>
    </row>
    <row r="28" spans="1:29" ht="14.45" customHeight="1" x14ac:dyDescent="0.25">
      <c r="A28" s="89" t="s">
        <v>457</v>
      </c>
      <c r="B28" s="293"/>
      <c r="C28" s="93"/>
      <c r="D28" s="93"/>
      <c r="E28" s="93"/>
      <c r="F28" s="93"/>
      <c r="G28" s="93"/>
      <c r="H28" s="418" t="s">
        <v>462</v>
      </c>
      <c r="I28" s="427" cm="1">
        <f t="array" ref="I28">_xlfn.XLOOKUP(1, ('0. GUIDELINES'!$E$3='[1]input-mpo'!$A:$A) * (I$7='[1]input-mpo'!$B:$B) * ($A28='[1]input-mpo'!$C:$C), '[1]input-mpo'!$D:$D)</f>
        <v>140921000</v>
      </c>
      <c r="J28" s="427" cm="1">
        <f t="array" ref="J28">_xlfn.XLOOKUP(1, ('0. GUIDELINES'!$E$3='[1]input-mpo'!$A:$A) * (J$7='[1]input-mpo'!$B:$B) * ($A28='[1]input-mpo'!$C:$C), '[1]input-mpo'!$D:$D)</f>
        <v>142660000</v>
      </c>
      <c r="K28" s="427" cm="1">
        <f t="array" ref="K28">_xlfn.XLOOKUP(1, ('0. GUIDELINES'!$E$3='[1]input-mpo'!$A:$A) * (K$7='[1]input-mpo'!$B:$B) * ($A28='[1]input-mpo'!$C:$C), '[1]input-mpo'!$D:$D)</f>
        <v>144304000</v>
      </c>
      <c r="L28" s="427" cm="1">
        <f t="array" ref="L28">_xlfn.XLOOKUP(1, ('0. GUIDELINES'!$E$3='[1]input-mpo'!$A:$A) * (L$7='[1]input-mpo'!$B:$B) * ($A28='[1]input-mpo'!$C:$C), '[1]input-mpo'!$D:$D)</f>
        <v>145925000</v>
      </c>
      <c r="M28" s="427" cm="1">
        <f t="array" ref="M28">_xlfn.XLOOKUP(1, ('0. GUIDELINES'!$E$3='[1]input-mpo'!$A:$A) * (M$7='[1]input-mpo'!$B:$B) * ($A28='[1]input-mpo'!$C:$C), '[1]input-mpo'!$D:$D)</f>
        <v>147575000</v>
      </c>
      <c r="N28" s="427" cm="1">
        <f t="array" ref="N28">_xlfn.XLOOKUP(1, ('0. GUIDELINES'!$E$3='[1]input-mpo'!$A:$A) * (N$7='[1]input-mpo'!$B:$B) * ($A28='[1]input-mpo'!$C:$C), '[1]input-mpo'!$D:$D)</f>
        <v>149273000</v>
      </c>
      <c r="O28" s="427" cm="1">
        <f t="array" ref="O28">_xlfn.XLOOKUP(1, ('0. GUIDELINES'!$E$3='[1]input-mpo'!$A:$A) * (O$7='[1]input-mpo'!$B:$B) * ($A28='[1]input-mpo'!$C:$C), '[1]input-mpo'!$D:$D)</f>
        <v>151006000</v>
      </c>
      <c r="P28" s="427" cm="1">
        <f t="array" ref="P28">_xlfn.XLOOKUP(1, ('0. GUIDELINES'!$E$3='[1]input-mpo'!$A:$A) * (P$7='[1]input-mpo'!$B:$B) * ($A28='[1]input-mpo'!$C:$C), '[1]input-mpo'!$D:$D)</f>
        <v>154030140</v>
      </c>
      <c r="Q28" s="427" cm="1">
        <f t="array" ref="Q28">_xlfn.XLOOKUP(1, ('0. GUIDELINES'!$E$3='[1]input-mpo'!$A:$A) * (Q$7='[1]input-mpo'!$B:$B) * ($A28='[1]input-mpo'!$C:$C), '[1]input-mpo'!$D:$D)</f>
        <v>155961299</v>
      </c>
      <c r="R28" s="427" cm="1">
        <f t="array" ref="R28">_xlfn.XLOOKUP(1, ('0. GUIDELINES'!$E$3='[1]input-mpo'!$A:$A) * (R$7='[1]input-mpo'!$B:$B) * ($A28='[1]input-mpo'!$C:$C), '[1]input-mpo'!$D:$D)</f>
        <v>157830000</v>
      </c>
      <c r="S28" s="427" cm="1">
        <f t="array" ref="S28">_xlfn.XLOOKUP(1, ('0. GUIDELINES'!$E$3='[1]input-mpo'!$A:$A) * (S$7='[1]input-mpo'!$B:$B) * ($A28='[1]input-mpo'!$C:$C), '[1]input-mpo'!$D:$D)</f>
        <v>159784569</v>
      </c>
      <c r="T28" s="427" cm="1">
        <f t="array" ref="T28">_xlfn.XLOOKUP(1, ('0. GUIDELINES'!$E$3='[1]input-mpo'!$A:$A) * (T$7='[1]input-mpo'!$B:$B) * ($A28='[1]input-mpo'!$C:$C), '[1]input-mpo'!$D:$D)</f>
        <v>161793963.99999997</v>
      </c>
      <c r="U28" s="427" cm="1">
        <f t="array" ref="U28">_xlfn.XLOOKUP(1, ('0. GUIDELINES'!$E$3='[1]input-mpo'!$A:$A) * (U$7='[1]input-mpo'!$B:$B) * ($A28='[1]input-mpo'!$C:$C), '[1]input-mpo'!$D:$D)</f>
        <v>163683958</v>
      </c>
      <c r="V28" s="427" cm="1">
        <f t="array" ref="V28">_xlfn.XLOOKUP(1, ('0. GUIDELINES'!$E$3='[1]input-mpo'!$A:$A) * (V$7='[1]input-mpo'!$B:$B) * ($A28='[1]input-mpo'!$C:$C), '[1]input-mpo'!$D:$D)</f>
        <v>165516222</v>
      </c>
      <c r="W28" s="427" cm="1">
        <f t="array" ref="W28">_xlfn.XLOOKUP(1, ('0. GUIDELINES'!$E$3='[1]input-mpo'!$A:$A) * (W$7='[1]input-mpo'!$B:$B) * ($A28='[1]input-mpo'!$C:$C), '[1]input-mpo'!$D:$D)</f>
        <v>167420951</v>
      </c>
      <c r="X28" s="427" cm="1">
        <f t="array" ref="X28">_xlfn.XLOOKUP(1, ('0. GUIDELINES'!$E$3='[1]input-mpo'!$A:$A) * (X$7='[1]input-mpo'!$B:$B) * ($A28='[1]input-mpo'!$C:$C), '[1]input-mpo'!$D:$D)</f>
        <v>169356251</v>
      </c>
      <c r="Y28" s="427" cm="1">
        <f t="array" ref="Y28">_xlfn.XLOOKUP(1, ('0. GUIDELINES'!$E$3='[1]input-mpo'!$A:$A) * (Y$7='[1]input-mpo'!$B:$B) * ($A28='[1]input-mpo'!$C:$C), '[1]input-mpo'!$D:$D)</f>
        <v>171186373</v>
      </c>
      <c r="Z28" s="428" cm="1">
        <f t="array" ref="Z28">_xlfn.XLOOKUP(1, ('0. GUIDELINES'!$E$3='[1]input-mpo'!$A:$A) * (Z$7='[1]input-mpo'!$B:$B) * ($A28='[1]input-mpo'!$C:$C), '[1]input-mpo'!$D:$D)</f>
        <v>172954318.99999997</v>
      </c>
      <c r="AA28" s="428" cm="1">
        <f t="array" ref="AA28">_xlfn.XLOOKUP(1, ('0. GUIDELINES'!$E$3='[1]input-mpo'!$A:$A) * (AA$7='[1]input-mpo'!$B:$B) * ($A28='[1]input-mpo'!$C:$C), '[1]input-mpo'!$D:$D)</f>
        <v>174701211</v>
      </c>
      <c r="AB28" s="428" cm="1">
        <f t="array" ref="AB28">_xlfn.XLOOKUP(1, ('0. GUIDELINES'!$E$3='[1]input-mpo'!$A:$A) * (AB$7='[1]input-mpo'!$B:$B) * ($A28='[1]input-mpo'!$C:$C), '[1]input-mpo'!$D:$D)</f>
        <v>176421510.00000003</v>
      </c>
      <c r="AC28" s="428" cm="1">
        <f t="array" ref="AC28">_xlfn.XLOOKUP(1, ('0. GUIDELINES'!$E$3='[1]input-mpo'!$A:$A) * (AC$7='[1]input-mpo'!$B:$B) * ($A28='[1]input-mpo'!$C:$C), '[1]input-mpo'!$D:$D)</f>
        <v>178106136</v>
      </c>
    </row>
    <row r="29" spans="1:29" ht="14.45" customHeight="1" x14ac:dyDescent="0.25">
      <c r="A29" s="89" t="s">
        <v>465</v>
      </c>
      <c r="B29" s="293"/>
      <c r="C29" s="93"/>
      <c r="D29" s="93"/>
      <c r="E29" s="93"/>
      <c r="F29" s="93"/>
      <c r="G29" s="93"/>
      <c r="H29" s="418" t="s">
        <v>463</v>
      </c>
      <c r="I29" s="427" cm="1">
        <f t="array" ref="I29">_xlfn.XLOOKUP(1, ('0. GUIDELINES'!$E$3='[1]input-mpo'!$A:$A) * (I$7='[1]input-mpo'!$B:$B) * ($A29='[1]input-mpo'!$C:$C), '[1]input-mpo'!$D:$D)</f>
        <v>142628831</v>
      </c>
      <c r="J29" s="427" cm="1">
        <f t="array" ref="J29">_xlfn.XLOOKUP(1, ('0. GUIDELINES'!$E$3='[1]input-mpo'!$A:$A) * (J$7='[1]input-mpo'!$B:$B) * ($A29='[1]input-mpo'!$C:$C), '[1]input-mpo'!$D:$D)</f>
        <v>144135934</v>
      </c>
      <c r="K29" s="427" cm="1">
        <f t="array" ref="K29">_xlfn.XLOOKUP(1, ('0. GUIDELINES'!$E$3='[1]input-mpo'!$A:$A) * (K$7='[1]input-mpo'!$B:$B) * ($A29='[1]input-mpo'!$C:$C), '[1]input-mpo'!$D:$D)</f>
        <v>145421318</v>
      </c>
      <c r="L29" s="427" cm="1">
        <f t="array" ref="L29">_xlfn.XLOOKUP(1, ('0. GUIDELINES'!$E$3='[1]input-mpo'!$A:$A) * (L$7='[1]input-mpo'!$B:$B) * ($A29='[1]input-mpo'!$C:$C), '[1]input-mpo'!$D:$D)</f>
        <v>146706810</v>
      </c>
      <c r="M29" s="427" cm="1">
        <f t="array" ref="M29">_xlfn.XLOOKUP(1, ('0. GUIDELINES'!$E$3='[1]input-mpo'!$A:$A) * (M$7='[1]input-mpo'!$B:$B) * ($A29='[1]input-mpo'!$C:$C), '[1]input-mpo'!$D:$D)</f>
        <v>148391139</v>
      </c>
      <c r="N29" s="427" cm="1">
        <f t="array" ref="N29">_xlfn.XLOOKUP(1, ('0. GUIDELINES'!$E$3='[1]input-mpo'!$A:$A) * (N$7='[1]input-mpo'!$B:$B) * ($A29='[1]input-mpo'!$C:$C), '[1]input-mpo'!$D:$D)</f>
        <v>150211005</v>
      </c>
      <c r="O29" s="427" cm="1">
        <f t="array" ref="O29">_xlfn.XLOOKUP(1, ('0. GUIDELINES'!$E$3='[1]input-mpo'!$A:$A) * (O$7='[1]input-mpo'!$B:$B) * ($A29='[1]input-mpo'!$C:$C), '[1]input-mpo'!$D:$D)</f>
        <v>152090649</v>
      </c>
      <c r="P29" s="427" cm="1">
        <f t="array" ref="P29">_xlfn.XLOOKUP(1, ('0. GUIDELINES'!$E$3='[1]input-mpo'!$A:$A) * (P$7='[1]input-mpo'!$B:$B) * ($A29='[1]input-mpo'!$C:$C), '[1]input-mpo'!$D:$D)</f>
        <v>154030139</v>
      </c>
      <c r="Q29" s="427" cm="1">
        <f t="array" ref="Q29">_xlfn.XLOOKUP(1, ('0. GUIDELINES'!$E$3='[1]input-mpo'!$A:$A) * (Q$7='[1]input-mpo'!$B:$B) * ($A29='[1]input-mpo'!$C:$C), '[1]input-mpo'!$D:$D)</f>
        <v>155961299</v>
      </c>
      <c r="R29" s="427" cm="1">
        <f t="array" ref="R29">_xlfn.XLOOKUP(1, ('0. GUIDELINES'!$E$3='[1]input-mpo'!$A:$A) * (R$7='[1]input-mpo'!$B:$B) * ($A29='[1]input-mpo'!$C:$C), '[1]input-mpo'!$D:$D)</f>
        <v>157830000</v>
      </c>
      <c r="S29" s="427" cm="1">
        <f t="array" ref="S29">_xlfn.XLOOKUP(1, ('0. GUIDELINES'!$E$3='[1]input-mpo'!$A:$A) * (S$7='[1]input-mpo'!$B:$B) * ($A29='[1]input-mpo'!$C:$C), '[1]input-mpo'!$D:$D)</f>
        <v>159784568</v>
      </c>
      <c r="T29" s="427" cm="1">
        <f t="array" ref="T29">_xlfn.XLOOKUP(1, ('0. GUIDELINES'!$E$3='[1]input-mpo'!$A:$A) * (T$7='[1]input-mpo'!$B:$B) * ($A29='[1]input-mpo'!$C:$C), '[1]input-mpo'!$D:$D)</f>
        <v>161793964</v>
      </c>
      <c r="U29" s="427" cm="1">
        <f t="array" ref="U29">_xlfn.XLOOKUP(1, ('0. GUIDELINES'!$E$3='[1]input-mpo'!$A:$A) * (U$7='[1]input-mpo'!$B:$B) * ($A29='[1]input-mpo'!$C:$C), '[1]input-mpo'!$D:$D)</f>
        <v>163683958</v>
      </c>
      <c r="V29" s="427" cm="1">
        <f t="array" ref="V29">_xlfn.XLOOKUP(1, ('0. GUIDELINES'!$E$3='[1]input-mpo'!$A:$A) * (V$7='[1]input-mpo'!$B:$B) * ($A29='[1]input-mpo'!$C:$C), '[1]input-mpo'!$D:$D)</f>
        <v>165516222</v>
      </c>
      <c r="W29" s="427" cm="1">
        <f t="array" ref="W29">_xlfn.XLOOKUP(1, ('0. GUIDELINES'!$E$3='[1]input-mpo'!$A:$A) * (W$7='[1]input-mpo'!$B:$B) * ($A29='[1]input-mpo'!$C:$C), '[1]input-mpo'!$D:$D)</f>
        <v>167420951</v>
      </c>
      <c r="X29" s="427" cm="1">
        <f t="array" ref="X29">_xlfn.XLOOKUP(1, ('0. GUIDELINES'!$E$3='[1]input-mpo'!$A:$A) * (X$7='[1]input-mpo'!$B:$B) * ($A29='[1]input-mpo'!$C:$C), '[1]input-mpo'!$D:$D)</f>
        <v>169356251</v>
      </c>
      <c r="Y29" s="427" cm="1">
        <f t="array" ref="Y29">_xlfn.XLOOKUP(1, ('0. GUIDELINES'!$E$3='[1]input-mpo'!$A:$A) * (Y$7='[1]input-mpo'!$B:$B) * ($A29='[1]input-mpo'!$C:$C), '[1]input-mpo'!$D:$D)</f>
        <v>171186372</v>
      </c>
      <c r="Z29" s="428" cm="1">
        <f t="array" ref="Z29">_xlfn.XLOOKUP(1, ('0. GUIDELINES'!$E$3='[1]input-mpo'!$A:$A) * (Z$7='[1]input-mpo'!$B:$B) * ($A29='[1]input-mpo'!$C:$C), '[1]input-mpo'!$D:$D)</f>
        <v>172954319</v>
      </c>
      <c r="AA29" s="428" cm="1">
        <f t="array" ref="AA29">_xlfn.XLOOKUP(1, ('0. GUIDELINES'!$E$3='[1]input-mpo'!$A:$A) * (AA$7='[1]input-mpo'!$B:$B) * ($A29='[1]input-mpo'!$C:$C), '[1]input-mpo'!$D:$D)</f>
        <v>174701211</v>
      </c>
      <c r="AB29" s="428" cm="1">
        <f t="array" ref="AB29">_xlfn.XLOOKUP(1, ('0. GUIDELINES'!$E$3='[1]input-mpo'!$A:$A) * (AB$7='[1]input-mpo'!$B:$B) * ($A29='[1]input-mpo'!$C:$C), '[1]input-mpo'!$D:$D)</f>
        <v>176421509</v>
      </c>
      <c r="AC29" s="428" cm="1">
        <f t="array" ref="AC29">_xlfn.XLOOKUP(1, ('0. GUIDELINES'!$E$3='[1]input-mpo'!$A:$A) * (AC$7='[1]input-mpo'!$B:$B) * ($A29='[1]input-mpo'!$C:$C), '[1]input-mpo'!$D:$D)</f>
        <v>178106136</v>
      </c>
    </row>
    <row r="30" spans="1:29" ht="14.45" customHeight="1" x14ac:dyDescent="0.25">
      <c r="A30" s="89" t="s">
        <v>460</v>
      </c>
      <c r="B30" s="293"/>
      <c r="C30" s="93"/>
      <c r="D30" s="93"/>
      <c r="E30" s="93"/>
      <c r="F30" s="93"/>
      <c r="G30" s="93"/>
      <c r="H30" s="418" t="s">
        <v>464</v>
      </c>
      <c r="I30" s="427" cm="1">
        <f t="array" ref="I30">_xlfn.XLOOKUP(1, ('0. GUIDELINES'!$E$3='[1]input-mpo'!$A:$A) * (I$7='[1]input-mpo'!$B:$B) * ($A30='[1]input-mpo'!$C:$C), '[1]input-mpo'!$D:$D)</f>
        <v>146405973.5</v>
      </c>
      <c r="J30" s="427" cm="1">
        <f t="array" ref="J30">_xlfn.XLOOKUP(1, ('0. GUIDELINES'!$E$3='[1]input-mpo'!$A:$A) * (J$7='[1]input-mpo'!$B:$B) * ($A30='[1]input-mpo'!$C:$C), '[1]input-mpo'!$D:$D)</f>
        <v>147989278</v>
      </c>
      <c r="K30" s="427" cm="1">
        <f t="array" ref="K30">_xlfn.XLOOKUP(1, ('0. GUIDELINES'!$E$3='[1]input-mpo'!$A:$A) * (K$7='[1]input-mpo'!$B:$B) * ($A30='[1]input-mpo'!$C:$C), '[1]input-mpo'!$D:$D)</f>
        <v>149474263.5</v>
      </c>
      <c r="L30" s="427" cm="1">
        <f t="array" ref="L30">_xlfn.XLOOKUP(1, ('0. GUIDELINES'!$E$3='[1]input-mpo'!$A:$A) * (L$7='[1]input-mpo'!$B:$B) * ($A30='[1]input-mpo'!$C:$C), '[1]input-mpo'!$D:$D)</f>
        <v>150873714</v>
      </c>
      <c r="M30" s="427" cm="1">
        <f t="array" ref="M30">_xlfn.XLOOKUP(1, ('0. GUIDELINES'!$E$3='[1]input-mpo'!$A:$A) * (M$7='[1]input-mpo'!$B:$B) * ($A30='[1]input-mpo'!$C:$C), '[1]input-mpo'!$D:$D)</f>
        <v>152201981.5</v>
      </c>
      <c r="N30" s="427" cm="1">
        <f t="array" ref="N30">_xlfn.XLOOKUP(1, ('0. GUIDELINES'!$E$3='[1]input-mpo'!$A:$A) * (N$7='[1]input-mpo'!$B:$B) * ($A30='[1]input-mpo'!$C:$C), '[1]input-mpo'!$D:$D)</f>
        <v>153591075.5</v>
      </c>
      <c r="O30" s="427" cm="1">
        <f t="array" ref="O30">_xlfn.XLOOKUP(1, ('0. GUIDELINES'!$E$3='[1]input-mpo'!$A:$A) * (O$7='[1]input-mpo'!$B:$B) * ($A30='[1]input-mpo'!$C:$C), '[1]input-mpo'!$D:$D)</f>
        <v>155070101.5</v>
      </c>
      <c r="P30" s="427" cm="1">
        <f t="array" ref="P30">_xlfn.XLOOKUP(1, ('0. GUIDELINES'!$E$3='[1]input-mpo'!$A:$A) * (P$7='[1]input-mpo'!$B:$B) * ($A30='[1]input-mpo'!$C:$C), '[1]input-mpo'!$D:$D)</f>
        <v>156532140.5</v>
      </c>
      <c r="Q30" s="427" cm="1">
        <f t="array" ref="Q30">_xlfn.XLOOKUP(1, ('0. GUIDELINES'!$E$3='[1]input-mpo'!$A:$A) * (Q$7='[1]input-mpo'!$B:$B) * ($A30='[1]input-mpo'!$C:$C), '[1]input-mpo'!$D:$D)</f>
        <v>157964928.5</v>
      </c>
      <c r="R30" s="427" cm="1">
        <f t="array" ref="R30">_xlfn.XLOOKUP(1, ('0. GUIDELINES'!$E$3='[1]input-mpo'!$A:$A) * (R$7='[1]input-mpo'!$B:$B) * ($A30='[1]input-mpo'!$C:$C), '[1]input-mpo'!$D:$D)</f>
        <v>159383179</v>
      </c>
      <c r="S30" s="427" cm="1">
        <f t="array" ref="S30">_xlfn.XLOOKUP(1, ('0. GUIDELINES'!$E$3='[1]input-mpo'!$A:$A) * (S$7='[1]input-mpo'!$B:$B) * ($A30='[1]input-mpo'!$C:$C), '[1]input-mpo'!$D:$D)</f>
        <v>160811932.5</v>
      </c>
      <c r="T30" s="427" cm="1">
        <f t="array" ref="T30">_xlfn.XLOOKUP(1, ('0. GUIDELINES'!$E$3='[1]input-mpo'!$A:$A) * (T$7='[1]input-mpo'!$B:$B) * ($A30='[1]input-mpo'!$C:$C), '[1]input-mpo'!$D:$D)</f>
        <v>162186146.5</v>
      </c>
      <c r="U30" s="427" cm="1">
        <f t="array" ref="U30">_xlfn.XLOOKUP(1, ('0. GUIDELINES'!$E$3='[1]input-mpo'!$A:$A) * (U$7='[1]input-mpo'!$B:$B) * ($A30='[1]input-mpo'!$C:$C), '[1]input-mpo'!$D:$D)</f>
        <v>163523103.5</v>
      </c>
      <c r="V30" s="427" cm="1">
        <f t="array" ref="V30">_xlfn.XLOOKUP(1, ('0. GUIDELINES'!$E$3='[1]input-mpo'!$A:$A) * (V$7='[1]input-mpo'!$B:$B) * ($A30='[1]input-mpo'!$C:$C), '[1]input-mpo'!$D:$D)</f>
        <v>164913055</v>
      </c>
      <c r="W30" s="427" cm="1">
        <f t="array" ref="W30">_xlfn.XLOOKUP(1, ('0. GUIDELINES'!$E$3='[1]input-mpo'!$A:$A) * (W$7='[1]input-mpo'!$B:$B) * ($A30='[1]input-mpo'!$C:$C), '[1]input-mpo'!$D:$D)</f>
        <v>166298024</v>
      </c>
      <c r="X30" s="427" cm="1">
        <f t="array" ref="X30">_xlfn.XLOOKUP(1, ('0. GUIDELINES'!$E$3='[1]input-mpo'!$A:$A) * (X$7='[1]input-mpo'!$B:$B) * ($A30='[1]input-mpo'!$C:$C), '[1]input-mpo'!$D:$D)</f>
        <v>167658854.5</v>
      </c>
      <c r="Y30" s="427" cm="1">
        <f t="array" ref="Y30">_xlfn.XLOOKUP(1, ('0. GUIDELINES'!$E$3='[1]input-mpo'!$A:$A) * (Y$7='[1]input-mpo'!$B:$B) * ($A30='[1]input-mpo'!$C:$C), '[1]input-mpo'!$D:$D)</f>
        <v>169384897.5</v>
      </c>
      <c r="Z30" s="428" cm="1">
        <f t="array" ref="Z30">_xlfn.XLOOKUP(1, ('0. GUIDELINES'!$E$3='[1]input-mpo'!$A:$A) * (Z$7='[1]input-mpo'!$B:$B) * ($A30='[1]input-mpo'!$C:$C), '[1]input-mpo'!$D:$D)</f>
        <v>171466990</v>
      </c>
      <c r="AA30" s="428" cm="1">
        <f t="array" ref="AA30">_xlfn.XLOOKUP(1, ('0. GUIDELINES'!$E$3='[1]input-mpo'!$A:$A) * (AA$7='[1]input-mpo'!$B:$B) * ($A30='[1]input-mpo'!$C:$C), '[1]input-mpo'!$D:$D)</f>
        <v>173562364</v>
      </c>
      <c r="AB30" s="428" cm="1">
        <f t="array" ref="AB30">_xlfn.XLOOKUP(1, ('0. GUIDELINES'!$E$3='[1]input-mpo'!$A:$A) * (AB$7='[1]input-mpo'!$B:$B) * ($A30='[1]input-mpo'!$C:$C), '[1]input-mpo'!$D:$D)</f>
        <v>175686899.5</v>
      </c>
      <c r="AC30" s="428" cm="1">
        <f t="array" ref="AC30">_xlfn.XLOOKUP(1, ('0. GUIDELINES'!$E$3='[1]input-mpo'!$A:$A) * (AC$7='[1]input-mpo'!$B:$B) * ($A30='[1]input-mpo'!$C:$C), '[1]input-mpo'!$D:$D)</f>
        <v>177818044.5</v>
      </c>
    </row>
    <row r="31" spans="1:29" ht="14.45" customHeight="1" x14ac:dyDescent="0.25">
      <c r="A31" s="89"/>
      <c r="B31" s="293"/>
      <c r="C31" s="93"/>
      <c r="D31" s="93"/>
      <c r="E31" s="93"/>
      <c r="F31" s="93"/>
      <c r="G31" s="93"/>
      <c r="H31" s="418"/>
      <c r="I31" s="427"/>
      <c r="J31" s="427"/>
      <c r="K31" s="427"/>
      <c r="L31" s="427"/>
      <c r="M31" s="427"/>
      <c r="N31" s="427"/>
      <c r="O31" s="427"/>
      <c r="P31" s="427"/>
      <c r="Q31" s="427"/>
      <c r="R31" s="427"/>
      <c r="S31" s="427"/>
      <c r="T31" s="427"/>
      <c r="U31" s="427"/>
      <c r="V31" s="427"/>
      <c r="W31" s="427"/>
      <c r="X31" s="427"/>
      <c r="Y31" s="427"/>
      <c r="Z31" s="428"/>
      <c r="AA31" s="428"/>
      <c r="AB31" s="428"/>
      <c r="AC31" s="428"/>
    </row>
    <row r="32" spans="1:29" ht="14.45" customHeight="1" x14ac:dyDescent="0.25">
      <c r="A32" s="89" t="s">
        <v>622</v>
      </c>
      <c r="B32" s="293"/>
      <c r="C32" s="93"/>
      <c r="D32" s="93"/>
      <c r="E32" s="93"/>
      <c r="F32" s="93"/>
      <c r="G32" s="93"/>
      <c r="H32" s="418" t="s">
        <v>624</v>
      </c>
      <c r="I32" s="427" t="e" cm="1">
        <f t="array" ref="I32">_xlfn.XLOOKUP(1, ('0. GUIDELINES'!$E$3='[1]input-mpo'!$A:$A) * (I$7='[1]input-mpo'!$B:$B) * ($A32='[1]input-mpo'!$C:$C), '[1]input-mpo'!$D:$D)</f>
        <v>#N/A</v>
      </c>
      <c r="J32" s="427" cm="1">
        <f t="array" ref="J32">_xlfn.XLOOKUP(1, ('0. GUIDELINES'!$E$3='[1]input-mpo'!$A:$A) * (J$7='[1]input-mpo'!$B:$B) * ($A32='[1]input-mpo'!$C:$C), '[1]input-mpo'!$D:$D)</f>
        <v>94343178.288407549</v>
      </c>
      <c r="K32" s="427" cm="1">
        <f t="array" ref="K32">_xlfn.XLOOKUP(1, ('0. GUIDELINES'!$E$3='[1]input-mpo'!$A:$A) * (K$7='[1]input-mpo'!$B:$B) * ($A32='[1]input-mpo'!$C:$C), '[1]input-mpo'!$D:$D)</f>
        <v>95622876.018873364</v>
      </c>
      <c r="L32" s="427" cm="1">
        <f t="array" ref="L32">_xlfn.XLOOKUP(1, ('0. GUIDELINES'!$E$3='[1]input-mpo'!$A:$A) * (L$7='[1]input-mpo'!$B:$B) * ($A32='[1]input-mpo'!$C:$C), '[1]input-mpo'!$D:$D)</f>
        <v>97003697.043001145</v>
      </c>
      <c r="M32" s="427" cm="1">
        <f t="array" ref="M32">_xlfn.XLOOKUP(1, ('0. GUIDELINES'!$E$3='[1]input-mpo'!$A:$A) * (M$7='[1]input-mpo'!$B:$B) * ($A32='[1]input-mpo'!$C:$C), '[1]input-mpo'!$D:$D)</f>
        <v>98855177.196882188</v>
      </c>
      <c r="N32" s="427" cm="1">
        <f t="array" ref="N32">_xlfn.XLOOKUP(1, ('0. GUIDELINES'!$E$3='[1]input-mpo'!$A:$A) * (N$7='[1]input-mpo'!$B:$B) * ($A32='[1]input-mpo'!$C:$C), '[1]input-mpo'!$D:$D)</f>
        <v>100910465.6569732</v>
      </c>
      <c r="O32" s="427" cm="1">
        <f t="array" ref="O32">_xlfn.XLOOKUP(1, ('0. GUIDELINES'!$E$3='[1]input-mpo'!$A:$A) * (O$7='[1]input-mpo'!$B:$B) * ($A32='[1]input-mpo'!$C:$C), '[1]input-mpo'!$D:$D)</f>
        <v>103124575.34998825</v>
      </c>
      <c r="P32" s="427" cm="1">
        <f t="array" ref="P32">_xlfn.XLOOKUP(1, ('0. GUIDELINES'!$E$3='[1]input-mpo'!$A:$A) * (P$7='[1]input-mpo'!$B:$B) * ($A32='[1]input-mpo'!$C:$C), '[1]input-mpo'!$D:$D)</f>
        <v>105461266.0201799</v>
      </c>
      <c r="Q32" s="427" cm="1">
        <f t="array" ref="Q32">_xlfn.XLOOKUP(1, ('0. GUIDELINES'!$E$3='[1]input-mpo'!$A:$A) * (Q$7='[1]input-mpo'!$B:$B) * ($A32='[1]input-mpo'!$C:$C), '[1]input-mpo'!$D:$D)</f>
        <v>107817822.25672464</v>
      </c>
      <c r="R32" s="427" cm="1">
        <f t="array" ref="R32">_xlfn.XLOOKUP(1, ('0. GUIDELINES'!$E$3='[1]input-mpo'!$A:$A) * (R$7='[1]input-mpo'!$B:$B) * ($A32='[1]input-mpo'!$C:$C), '[1]input-mpo'!$D:$D)</f>
        <v>110163382.27805345</v>
      </c>
      <c r="S32" s="427" cm="1">
        <f t="array" ref="S32">_xlfn.XLOOKUP(1, ('0. GUIDELINES'!$E$3='[1]input-mpo'!$A:$A) * (S$7='[1]input-mpo'!$B:$B) * ($A32='[1]input-mpo'!$C:$C), '[1]input-mpo'!$D:$D)</f>
        <v>112615929.1772231</v>
      </c>
      <c r="T32" s="427" cm="1">
        <f t="array" ref="T32">_xlfn.XLOOKUP(1, ('0. GUIDELINES'!$E$3='[1]input-mpo'!$A:$A) * (T$7='[1]input-mpo'!$B:$B) * ($A32='[1]input-mpo'!$C:$C), '[1]input-mpo'!$D:$D)</f>
        <v>115146128.55984223</v>
      </c>
      <c r="U32" s="427" cm="1">
        <f t="array" ref="U32">_xlfn.XLOOKUP(1, ('0. GUIDELINES'!$E$3='[1]input-mpo'!$A:$A) * (U$7='[1]input-mpo'!$B:$B) * ($A32='[1]input-mpo'!$C:$C), '[1]input-mpo'!$D:$D)</f>
        <v>117572757.40852427</v>
      </c>
      <c r="V32" s="427" cm="1">
        <f t="array" ref="V32">_xlfn.XLOOKUP(1, ('0. GUIDELINES'!$E$3='[1]input-mpo'!$A:$A) * (V$7='[1]input-mpo'!$B:$B) * ($A32='[1]input-mpo'!$C:$C), '[1]input-mpo'!$D:$D)</f>
        <v>119905206.6183445</v>
      </c>
      <c r="W32" s="427" cm="1">
        <f t="array" ref="W32">_xlfn.XLOOKUP(1, ('0. GUIDELINES'!$E$3='[1]input-mpo'!$A:$A) * (W$7='[1]input-mpo'!$B:$B) * ($A32='[1]input-mpo'!$C:$C), '[1]input-mpo'!$D:$D)</f>
        <v>122247126.04491366</v>
      </c>
      <c r="X32" s="427" cm="1">
        <f t="array" ref="X32">_xlfn.XLOOKUP(1, ('0. GUIDELINES'!$E$3='[1]input-mpo'!$A:$A) * (X$7='[1]input-mpo'!$B:$B) * ($A32='[1]input-mpo'!$C:$C), '[1]input-mpo'!$D:$D)</f>
        <v>124556466.02005304</v>
      </c>
      <c r="Y32" s="427" cm="1">
        <f t="array" ref="Y32">_xlfn.XLOOKUP(1, ('0. GUIDELINES'!$E$3='[1]input-mpo'!$A:$A) * (Y$7='[1]input-mpo'!$B:$B) * ($A32='[1]input-mpo'!$C:$C), '[1]input-mpo'!$D:$D)</f>
        <v>126730710.14835614</v>
      </c>
      <c r="Z32" s="428" cm="1">
        <f t="array" ref="Z32">_xlfn.XLOOKUP(1, ('0. GUIDELINES'!$E$3='[1]input-mpo'!$A:$A) * (Z$7='[1]input-mpo'!$B:$B) * ($A32='[1]input-mpo'!$C:$C), '[1]input-mpo'!$D:$D)</f>
        <v>128801640.15932027</v>
      </c>
      <c r="AA32" s="428" cm="1">
        <f t="array" ref="AA32">_xlfn.XLOOKUP(1, ('0. GUIDELINES'!$E$3='[1]input-mpo'!$A:$A) * (AA$7='[1]input-mpo'!$B:$B) * ($A32='[1]input-mpo'!$C:$C), '[1]input-mpo'!$D:$D)</f>
        <v>130782304.97925054</v>
      </c>
      <c r="AB32" s="428" cm="1">
        <f t="array" ref="AB32">_xlfn.XLOOKUP(1, ('0. GUIDELINES'!$E$3='[1]input-mpo'!$A:$A) * (AB$7='[1]input-mpo'!$B:$B) * ($A32='[1]input-mpo'!$C:$C), '[1]input-mpo'!$D:$D)</f>
        <v>132666244.84137824</v>
      </c>
      <c r="AC32" s="428" cm="1">
        <f t="array" ref="AC32">_xlfn.XLOOKUP(1, ('0. GUIDELINES'!$E$3='[1]input-mpo'!$A:$A) * (AC$7='[1]input-mpo'!$B:$B) * ($A32='[1]input-mpo'!$C:$C), '[1]input-mpo'!$D:$D)</f>
        <v>134457507.12292933</v>
      </c>
    </row>
    <row r="33" spans="1:37" ht="14.45" customHeight="1" x14ac:dyDescent="0.25">
      <c r="A33" s="89" t="s">
        <v>620</v>
      </c>
      <c r="B33" s="293"/>
      <c r="C33" s="93"/>
      <c r="D33" s="93"/>
      <c r="E33" s="93"/>
      <c r="F33" s="93"/>
      <c r="G33" s="93"/>
      <c r="H33" s="418" t="s">
        <v>621</v>
      </c>
      <c r="I33" s="427" cm="1">
        <f t="array" ref="I33">_xlfn.XLOOKUP(1, ('0. GUIDELINES'!$E$3='[1]input-mpo'!$A:$A) * (I$7='[1]input-mpo'!$B:$B) * ($A33='[1]input-mpo'!$C:$C), '[1]input-mpo'!$D:$D)</f>
        <v>94553611</v>
      </c>
      <c r="J33" s="427" cm="1">
        <f t="array" ref="J33">_xlfn.XLOOKUP(1, ('0. GUIDELINES'!$E$3='[1]input-mpo'!$A:$A) * (J$7='[1]input-mpo'!$B:$B) * ($A33='[1]input-mpo'!$C:$C), '[1]input-mpo'!$D:$D)</f>
        <v>96038569</v>
      </c>
      <c r="K33" s="427" cm="1">
        <f t="array" ref="K33">_xlfn.XLOOKUP(1, ('0. GUIDELINES'!$E$3='[1]input-mpo'!$A:$A) * (K$7='[1]input-mpo'!$B:$B) * ($A33='[1]input-mpo'!$C:$C), '[1]input-mpo'!$D:$D)</f>
        <v>97467268.5</v>
      </c>
      <c r="L33" s="427" cm="1">
        <f t="array" ref="L33">_xlfn.XLOOKUP(1, ('0. GUIDELINES'!$E$3='[1]input-mpo'!$A:$A) * (L$7='[1]input-mpo'!$B:$B) * ($A33='[1]input-mpo'!$C:$C), '[1]input-mpo'!$D:$D)</f>
        <v>98900605.5</v>
      </c>
      <c r="M33" s="427" cm="1">
        <f t="array" ref="M33">_xlfn.XLOOKUP(1, ('0. GUIDELINES'!$E$3='[1]input-mpo'!$A:$A) * (M$7='[1]input-mpo'!$B:$B) * ($A33='[1]input-mpo'!$C:$C), '[1]input-mpo'!$D:$D)</f>
        <v>100376575.5</v>
      </c>
      <c r="N33" s="427" cm="1">
        <f t="array" ref="N33">_xlfn.XLOOKUP(1, ('0. GUIDELINES'!$E$3='[1]input-mpo'!$A:$A) * (N$7='[1]input-mpo'!$B:$B) * ($A33='[1]input-mpo'!$C:$C), '[1]input-mpo'!$D:$D)</f>
        <v>102011826</v>
      </c>
      <c r="O33" s="427" cm="1">
        <f t="array" ref="O33">_xlfn.XLOOKUP(1, ('0. GUIDELINES'!$E$3='[1]input-mpo'!$A:$A) * (O$7='[1]input-mpo'!$B:$B) * ($A33='[1]input-mpo'!$C:$C), '[1]input-mpo'!$D:$D)</f>
        <v>103855872</v>
      </c>
      <c r="P33" s="427" cm="1">
        <f t="array" ref="P33">_xlfn.XLOOKUP(1, ('0. GUIDELINES'!$E$3='[1]input-mpo'!$A:$A) * (P$7='[1]input-mpo'!$B:$B) * ($A33='[1]input-mpo'!$C:$C), '[1]input-mpo'!$D:$D)</f>
        <v>105778629</v>
      </c>
      <c r="Q33" s="427" cm="1">
        <f t="array" ref="Q33">_xlfn.XLOOKUP(1, ('0. GUIDELINES'!$E$3='[1]input-mpo'!$A:$A) * (Q$7='[1]input-mpo'!$B:$B) * ($A33='[1]input-mpo'!$C:$C), '[1]input-mpo'!$D:$D)</f>
        <v>107722118</v>
      </c>
      <c r="R33" s="427" cm="1">
        <f t="array" ref="R33">_xlfn.XLOOKUP(1, ('0. GUIDELINES'!$E$3='[1]input-mpo'!$A:$A) * (R$7='[1]input-mpo'!$B:$B) * ($A33='[1]input-mpo'!$C:$C), '[1]input-mpo'!$D:$D)</f>
        <v>109683773</v>
      </c>
      <c r="S33" s="427" cm="1">
        <f t="array" ref="S33">_xlfn.XLOOKUP(1, ('0. GUIDELINES'!$E$3='[1]input-mpo'!$A:$A) * (S$7='[1]input-mpo'!$B:$B) * ($A33='[1]input-mpo'!$C:$C), '[1]input-mpo'!$D:$D)</f>
        <v>111658077</v>
      </c>
      <c r="T33" s="427" cm="1">
        <f t="array" ref="T33">_xlfn.XLOOKUP(1, ('0. GUIDELINES'!$E$3='[1]input-mpo'!$A:$A) * (T$7='[1]input-mpo'!$B:$B) * ($A33='[1]input-mpo'!$C:$C), '[1]input-mpo'!$D:$D)</f>
        <v>113406537</v>
      </c>
      <c r="U33" s="427" cm="1">
        <f t="array" ref="U33">_xlfn.XLOOKUP(1, ('0. GUIDELINES'!$E$3='[1]input-mpo'!$A:$A) * (U$7='[1]input-mpo'!$B:$B) * ($A33='[1]input-mpo'!$C:$C), '[1]input-mpo'!$D:$D)</f>
        <v>114883911.5</v>
      </c>
      <c r="V33" s="427" cm="1">
        <f t="array" ref="V33">_xlfn.XLOOKUP(1, ('0. GUIDELINES'!$E$3='[1]input-mpo'!$A:$A) * (V$7='[1]input-mpo'!$B:$B) * ($A33='[1]input-mpo'!$C:$C), '[1]input-mpo'!$D:$D)</f>
        <v>116303016</v>
      </c>
      <c r="W33" s="427" cm="1">
        <f t="array" ref="W33">_xlfn.XLOOKUP(1, ('0. GUIDELINES'!$E$3='[1]input-mpo'!$A:$A) * (W$7='[1]input-mpo'!$B:$B) * ($A33='[1]input-mpo'!$C:$C), '[1]input-mpo'!$D:$D)</f>
        <v>117641792</v>
      </c>
      <c r="X33" s="427" cm="1">
        <f t="array" ref="X33">_xlfn.XLOOKUP(1, ('0. GUIDELINES'!$E$3='[1]input-mpo'!$A:$A) * (X$7='[1]input-mpo'!$B:$B) * ($A33='[1]input-mpo'!$C:$C), '[1]input-mpo'!$D:$D)</f>
        <v>118912879.5</v>
      </c>
      <c r="Y33" s="427" cm="1">
        <f t="array" ref="Y33">_xlfn.XLOOKUP(1, ('0. GUIDELINES'!$E$3='[1]input-mpo'!$A:$A) * (Y$7='[1]input-mpo'!$B:$B) * ($A33='[1]input-mpo'!$C:$C), '[1]input-mpo'!$D:$D)</f>
        <v>120652710</v>
      </c>
      <c r="Z33" s="428" cm="1">
        <f t="array" ref="Z33">_xlfn.XLOOKUP(1, ('0. GUIDELINES'!$E$3='[1]input-mpo'!$A:$A) * (Z$7='[1]input-mpo'!$B:$B) * ($A33='[1]input-mpo'!$C:$C), '[1]input-mpo'!$D:$D)</f>
        <v>122837439</v>
      </c>
      <c r="AA33" s="428" cm="1">
        <f t="array" ref="AA33">_xlfn.XLOOKUP(1, ('0. GUIDELINES'!$E$3='[1]input-mpo'!$A:$A) * (AA$7='[1]input-mpo'!$B:$B) * ($A33='[1]input-mpo'!$C:$C), '[1]input-mpo'!$D:$D)</f>
        <v>124984114.5</v>
      </c>
      <c r="AB33" s="428" cm="1">
        <f t="array" ref="AB33">_xlfn.XLOOKUP(1, ('0. GUIDELINES'!$E$3='[1]input-mpo'!$A:$A) * (AB$7='[1]input-mpo'!$B:$B) * ($A33='[1]input-mpo'!$C:$C), '[1]input-mpo'!$D:$D)</f>
        <v>127116950.5</v>
      </c>
      <c r="AC33" s="428" cm="1">
        <f t="array" ref="AC33">_xlfn.XLOOKUP(1, ('0. GUIDELINES'!$E$3='[1]input-mpo'!$A:$A) * (AC$7='[1]input-mpo'!$B:$B) * ($A33='[1]input-mpo'!$C:$C), '[1]input-mpo'!$D:$D)</f>
        <v>129224384</v>
      </c>
    </row>
    <row r="34" spans="1:37" ht="15" x14ac:dyDescent="0.25">
      <c r="A34" s="89"/>
      <c r="B34" s="293"/>
      <c r="C34" s="537" t="s">
        <v>124</v>
      </c>
      <c r="D34" s="537"/>
      <c r="E34" s="537"/>
      <c r="F34" s="537"/>
      <c r="G34" s="93"/>
      <c r="H34" s="409"/>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37"/>
      <c r="D35" s="537"/>
      <c r="E35" s="537"/>
      <c r="F35" s="537"/>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38" t="s">
        <v>125</v>
      </c>
      <c r="D36" s="538"/>
      <c r="E36" s="538"/>
      <c r="F36" s="538"/>
      <c r="G36" s="93"/>
      <c r="H36" s="531" t="s">
        <v>458</v>
      </c>
      <c r="I36" s="531"/>
      <c r="J36" s="531"/>
      <c r="K36" s="531"/>
      <c r="L36" s="531"/>
      <c r="M36" s="531"/>
      <c r="N36" s="531"/>
      <c r="O36" s="531"/>
      <c r="P36" s="531"/>
      <c r="Q36" s="531"/>
      <c r="R36" s="531"/>
      <c r="S36" s="531"/>
      <c r="T36" s="531"/>
      <c r="U36" s="531"/>
      <c r="V36" s="531"/>
      <c r="W36" s="531"/>
      <c r="X36" s="531"/>
      <c r="Y36" s="531"/>
      <c r="Z36" s="531"/>
      <c r="AA36" s="531"/>
      <c r="AB36" s="531"/>
      <c r="AC36" s="531"/>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32" t="s">
        <v>121</v>
      </c>
      <c r="V38" s="532"/>
      <c r="W38" s="532"/>
      <c r="X38" s="532"/>
      <c r="Y38" s="532"/>
      <c r="Z38" s="405"/>
      <c r="AA38" s="533" t="s">
        <v>7</v>
      </c>
      <c r="AB38" s="533"/>
      <c r="AC38" s="533"/>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5" t="s">
        <v>123</v>
      </c>
      <c r="I40" s="422"/>
      <c r="J40" s="422"/>
      <c r="K40" s="422">
        <f t="shared" ref="K40:AC40" si="23">+(K8/J8-1)*100</f>
        <v>6.013791661848189</v>
      </c>
      <c r="L40" s="422">
        <f t="shared" si="23"/>
        <v>5.0451211281109964</v>
      </c>
      <c r="M40" s="422">
        <f t="shared" si="23"/>
        <v>5.5718020558965575</v>
      </c>
      <c r="N40" s="422">
        <f t="shared" si="23"/>
        <v>6.464383702439247</v>
      </c>
      <c r="O40" s="422">
        <f t="shared" si="23"/>
        <v>6.5214370673565503</v>
      </c>
      <c r="P40" s="422">
        <f t="shared" si="23"/>
        <v>6.0136003720140385</v>
      </c>
      <c r="Q40" s="422">
        <f t="shared" si="23"/>
        <v>6.0610860042506376</v>
      </c>
      <c r="R40" s="422">
        <f t="shared" si="23"/>
        <v>6.5526448353302902</v>
      </c>
      <c r="S40" s="422">
        <f t="shared" si="23"/>
        <v>7.1134728556473181</v>
      </c>
      <c r="T40" s="422">
        <f t="shared" si="23"/>
        <v>6.5902394107701268</v>
      </c>
      <c r="U40" s="422">
        <f t="shared" si="23"/>
        <v>7.3194122993388344</v>
      </c>
      <c r="V40" s="422">
        <f t="shared" si="23"/>
        <v>7.8819021854025229</v>
      </c>
      <c r="W40" s="422">
        <f t="shared" si="23"/>
        <v>3.4480295312287579</v>
      </c>
      <c r="X40" s="422">
        <f t="shared" si="23"/>
        <v>6.938675089101598</v>
      </c>
      <c r="Y40" s="422">
        <f t="shared" si="23"/>
        <v>7.099828775751571</v>
      </c>
      <c r="Z40" s="423">
        <f t="shared" si="23"/>
        <v>5.7751090753483725</v>
      </c>
      <c r="AA40" s="423">
        <f t="shared" si="23"/>
        <v>5.6430273201793835</v>
      </c>
      <c r="AB40" s="423">
        <f t="shared" si="23"/>
        <v>5.6820170690020433</v>
      </c>
      <c r="AC40" s="423">
        <f t="shared" si="23"/>
        <v>5.9219103171221699</v>
      </c>
    </row>
    <row r="41" spans="1:37" ht="15" x14ac:dyDescent="0.25">
      <c r="A41" s="89"/>
      <c r="B41" s="293"/>
      <c r="C41" s="115"/>
      <c r="D41" s="115"/>
      <c r="E41" s="115"/>
      <c r="F41" s="115"/>
      <c r="G41" s="93"/>
      <c r="H41" s="412" t="s">
        <v>29</v>
      </c>
      <c r="I41" s="424"/>
      <c r="J41" s="424"/>
      <c r="K41" s="424">
        <f t="shared" ref="K41:AC41" si="24">+(K9/J9-1)*100</f>
        <v>4.4938757400293516</v>
      </c>
      <c r="L41" s="424">
        <f t="shared" si="24"/>
        <v>3.4660891923604664</v>
      </c>
      <c r="M41" s="424">
        <f t="shared" si="24"/>
        <v>6.1519435527086719</v>
      </c>
      <c r="N41" s="424">
        <f t="shared" si="24"/>
        <v>4.4563670228880303</v>
      </c>
      <c r="O41" s="424">
        <f t="shared" si="24"/>
        <v>3.0142709526391753</v>
      </c>
      <c r="P41" s="424">
        <f t="shared" si="24"/>
        <v>2.4648910461216422</v>
      </c>
      <c r="Q41" s="424">
        <f t="shared" si="24"/>
        <v>4.3718634925824063</v>
      </c>
      <c r="R41" s="424">
        <f t="shared" si="24"/>
        <v>3.3283867971883652</v>
      </c>
      <c r="S41" s="424">
        <f t="shared" si="24"/>
        <v>-5.8045595843746911</v>
      </c>
      <c r="T41" s="424">
        <f t="shared" si="24"/>
        <v>3.1960072270621254</v>
      </c>
      <c r="U41" s="424">
        <f t="shared" si="24"/>
        <v>3.5445399011226009</v>
      </c>
      <c r="V41" s="424">
        <f t="shared" si="24"/>
        <v>3.2605776835202827</v>
      </c>
      <c r="W41" s="424">
        <f t="shared" si="24"/>
        <v>3.4209479315654878</v>
      </c>
      <c r="X41" s="424">
        <f t="shared" si="24"/>
        <v>3.17454046886958</v>
      </c>
      <c r="Y41" s="424">
        <f t="shared" si="24"/>
        <v>3.0539818698030574</v>
      </c>
      <c r="Z41" s="425">
        <f t="shared" si="24"/>
        <v>3.371439220677197</v>
      </c>
      <c r="AA41" s="425">
        <f t="shared" si="24"/>
        <v>3.100002396175694</v>
      </c>
      <c r="AB41" s="425">
        <f t="shared" si="24"/>
        <v>3.0999989831941299</v>
      </c>
      <c r="AC41" s="425">
        <f t="shared" si="24"/>
        <v>3.1999962429231976</v>
      </c>
    </row>
    <row r="42" spans="1:37" ht="15" x14ac:dyDescent="0.25">
      <c r="A42" s="89"/>
      <c r="B42" s="293"/>
      <c r="C42" s="115"/>
      <c r="D42" s="115"/>
      <c r="E42" s="115"/>
      <c r="F42" s="115"/>
      <c r="G42" s="93"/>
      <c r="H42" s="412" t="s">
        <v>31</v>
      </c>
      <c r="I42" s="424"/>
      <c r="J42" s="424"/>
      <c r="K42" s="424">
        <f t="shared" ref="K42:AC42" si="25">+(K10/J10-1)*100</f>
        <v>7.0335338683084725</v>
      </c>
      <c r="L42" s="424">
        <f t="shared" si="25"/>
        <v>6.9131695177126362</v>
      </c>
      <c r="M42" s="424">
        <f t="shared" si="25"/>
        <v>7.0322071741750314</v>
      </c>
      <c r="N42" s="424">
        <f t="shared" si="25"/>
        <v>9.0191292340379157</v>
      </c>
      <c r="O42" s="424">
        <f t="shared" si="25"/>
        <v>9.4355948417776947</v>
      </c>
      <c r="P42" s="424">
        <f t="shared" si="25"/>
        <v>9.6393622650473354</v>
      </c>
      <c r="Q42" s="424">
        <f t="shared" si="25"/>
        <v>8.160014195899624</v>
      </c>
      <c r="R42" s="424">
        <f t="shared" si="25"/>
        <v>9.6669049832264875</v>
      </c>
      <c r="S42" s="424">
        <f t="shared" si="25"/>
        <v>14.316120391568244</v>
      </c>
      <c r="T42" s="424">
        <f t="shared" si="25"/>
        <v>8.272164852544428</v>
      </c>
      <c r="U42" s="424">
        <f t="shared" si="25"/>
        <v>10.195813919851403</v>
      </c>
      <c r="V42" s="424">
        <f t="shared" si="25"/>
        <v>11.633323452290089</v>
      </c>
      <c r="W42" s="424">
        <f t="shared" si="25"/>
        <v>3.6110899625822368</v>
      </c>
      <c r="X42" s="424">
        <f t="shared" si="25"/>
        <v>10.287102628335987</v>
      </c>
      <c r="Y42" s="424">
        <f t="shared" si="25"/>
        <v>9.8556838112562986</v>
      </c>
      <c r="Z42" s="425">
        <f t="shared" si="25"/>
        <v>8.367331362803121</v>
      </c>
      <c r="AA42" s="425">
        <f t="shared" si="25"/>
        <v>6.5999965256059889</v>
      </c>
      <c r="AB42" s="425">
        <f t="shared" si="25"/>
        <v>7.2000017982243092</v>
      </c>
      <c r="AC42" s="425">
        <f t="shared" si="25"/>
        <v>6.7999998202734169</v>
      </c>
    </row>
    <row r="43" spans="1:37" ht="15" x14ac:dyDescent="0.25">
      <c r="A43" s="89"/>
      <c r="B43" s="293"/>
      <c r="C43" s="115"/>
      <c r="D43" s="115"/>
      <c r="E43" s="115"/>
      <c r="F43" s="115"/>
      <c r="G43" s="93"/>
      <c r="H43" s="412" t="s">
        <v>33</v>
      </c>
      <c r="I43" s="424"/>
      <c r="J43" s="424"/>
      <c r="K43" s="424">
        <f t="shared" ref="K43:AC43" si="26">+(K11/J11-1)*100</f>
        <v>5.7623878123195471</v>
      </c>
      <c r="L43" s="424">
        <f t="shared" si="26"/>
        <v>5.0799684036820558</v>
      </c>
      <c r="M43" s="424">
        <f t="shared" si="26"/>
        <v>5.5288300687174052</v>
      </c>
      <c r="N43" s="424">
        <f t="shared" si="26"/>
        <v>6.2166220132312544</v>
      </c>
      <c r="O43" s="424">
        <f t="shared" si="26"/>
        <v>6.5760558664997637</v>
      </c>
      <c r="P43" s="424">
        <f t="shared" si="26"/>
        <v>5.5141616872384613</v>
      </c>
      <c r="Q43" s="424">
        <f t="shared" si="26"/>
        <v>5.6243542739221386</v>
      </c>
      <c r="R43" s="424">
        <f t="shared" si="26"/>
        <v>5.8010649091108979</v>
      </c>
      <c r="S43" s="424">
        <f t="shared" si="26"/>
        <v>6.9827692490399773</v>
      </c>
      <c r="T43" s="424">
        <f t="shared" si="26"/>
        <v>6.3749879584083402</v>
      </c>
      <c r="U43" s="424">
        <f t="shared" si="26"/>
        <v>6.5536210828342378</v>
      </c>
      <c r="V43" s="424">
        <f t="shared" si="26"/>
        <v>6.8798142311717436</v>
      </c>
      <c r="W43" s="424">
        <f t="shared" si="26"/>
        <v>3.9328627376918668</v>
      </c>
      <c r="X43" s="424">
        <f t="shared" si="26"/>
        <v>5.7321671253897755</v>
      </c>
      <c r="Y43" s="424">
        <f t="shared" si="26"/>
        <v>6.2566752865046649</v>
      </c>
      <c r="Z43" s="425">
        <f t="shared" si="26"/>
        <v>5.3712425094595062</v>
      </c>
      <c r="AA43" s="425">
        <f t="shared" si="26"/>
        <v>5.6386947578626945</v>
      </c>
      <c r="AB43" s="425">
        <f t="shared" si="26"/>
        <v>5.1098338337163707</v>
      </c>
      <c r="AC43" s="425">
        <f t="shared" si="26"/>
        <v>5.8214368743523703</v>
      </c>
    </row>
    <row r="44" spans="1:37" ht="15" x14ac:dyDescent="0.25">
      <c r="A44" s="89"/>
      <c r="B44" s="293"/>
      <c r="C44" s="115"/>
      <c r="D44" s="115"/>
      <c r="E44" s="115"/>
      <c r="F44" s="115"/>
      <c r="G44" s="93"/>
      <c r="H44" s="434" t="s">
        <v>456</v>
      </c>
      <c r="I44" s="435"/>
      <c r="J44" s="435"/>
      <c r="K44" s="436">
        <f t="shared" ref="K44:AC44" si="27">+(K12/J12-1)*100</f>
        <v>5.076742383915378</v>
      </c>
      <c r="L44" s="436">
        <f t="shared" si="27"/>
        <v>4.1246713361721365</v>
      </c>
      <c r="M44" s="436">
        <f t="shared" si="27"/>
        <v>4.3735004277628775</v>
      </c>
      <c r="N44" s="436">
        <f t="shared" si="27"/>
        <v>5.174533326497599</v>
      </c>
      <c r="O44" s="436">
        <f t="shared" si="27"/>
        <v>5.2049627499842988</v>
      </c>
      <c r="P44" s="436">
        <f t="shared" si="27"/>
        <v>4.678721048998713</v>
      </c>
      <c r="Q44" s="436">
        <f t="shared" si="27"/>
        <v>4.7478004115555361</v>
      </c>
      <c r="R44" s="436">
        <f t="shared" si="27"/>
        <v>5.2910676650377075</v>
      </c>
      <c r="S44" s="436">
        <f t="shared" si="27"/>
        <v>5.8032108640481805</v>
      </c>
      <c r="T44" s="436">
        <f t="shared" si="27"/>
        <v>5.2664423799012816</v>
      </c>
      <c r="U44" s="436">
        <f t="shared" si="27"/>
        <v>6.0802339229629077</v>
      </c>
      <c r="V44" s="436">
        <f t="shared" si="27"/>
        <v>6.6876524121165959</v>
      </c>
      <c r="W44" s="436">
        <f t="shared" si="27"/>
        <v>2.2711161046980344</v>
      </c>
      <c r="X44" s="436">
        <f t="shared" si="27"/>
        <v>5.7166433421792062</v>
      </c>
      <c r="Y44" s="436">
        <f t="shared" si="27"/>
        <v>5.9548430184038992</v>
      </c>
      <c r="Z44" s="437">
        <f t="shared" si="27"/>
        <v>4.6938726530462604</v>
      </c>
      <c r="AA44" s="437">
        <f t="shared" si="27"/>
        <v>4.5866633897880815</v>
      </c>
      <c r="AB44" s="437">
        <f t="shared" si="27"/>
        <v>4.6515087221147944</v>
      </c>
      <c r="AC44" s="437">
        <f t="shared" si="27"/>
        <v>4.9200393519387875</v>
      </c>
    </row>
    <row r="45" spans="1:37" ht="15" x14ac:dyDescent="0.25">
      <c r="A45" s="89"/>
      <c r="B45" s="293"/>
      <c r="C45" s="115"/>
      <c r="D45" s="115"/>
      <c r="E45" s="115"/>
      <c r="F45" s="115"/>
      <c r="G45" s="93"/>
      <c r="H45" s="408"/>
      <c r="I45" s="424"/>
      <c r="J45" s="424"/>
      <c r="K45" s="424"/>
      <c r="L45" s="424"/>
      <c r="M45" s="424"/>
      <c r="N45" s="424"/>
      <c r="O45" s="424"/>
      <c r="P45" s="424"/>
      <c r="Q45" s="424"/>
      <c r="R45" s="424"/>
      <c r="S45" s="424"/>
      <c r="T45" s="424"/>
      <c r="U45" s="424"/>
      <c r="V45" s="424"/>
      <c r="W45" s="424"/>
      <c r="X45" s="424"/>
      <c r="Y45" s="424"/>
      <c r="Z45" s="425"/>
      <c r="AA45" s="425"/>
      <c r="AB45" s="425"/>
      <c r="AC45" s="425"/>
    </row>
    <row r="46" spans="1:37" ht="15" x14ac:dyDescent="0.25">
      <c r="A46" s="89"/>
      <c r="B46" s="293"/>
      <c r="C46" s="115"/>
      <c r="D46" s="115"/>
      <c r="E46" s="115"/>
      <c r="F46" s="115"/>
      <c r="G46" s="93"/>
      <c r="H46" s="418" t="s">
        <v>123</v>
      </c>
      <c r="I46" s="422"/>
      <c r="J46" s="422">
        <f>+(J14/I14-1)*100</f>
        <v>7.0586362060701013</v>
      </c>
      <c r="K46" s="422">
        <f t="shared" ref="K46:AC46" si="28">+(K14/J14-1)*100</f>
        <v>6.0137897592330791</v>
      </c>
      <c r="L46" s="422">
        <f t="shared" si="28"/>
        <v>5.0451247941773802</v>
      </c>
      <c r="M46" s="422">
        <f t="shared" si="28"/>
        <v>5.5718022739686512</v>
      </c>
      <c r="N46" s="422">
        <f t="shared" si="28"/>
        <v>6.4643838804751663</v>
      </c>
      <c r="O46" s="422">
        <f t="shared" si="28"/>
        <v>6.5214350783733055</v>
      </c>
      <c r="P46" s="422">
        <f t="shared" si="28"/>
        <v>6.0135960674702282</v>
      </c>
      <c r="Q46" s="422">
        <f t="shared" si="28"/>
        <v>6.0610930537538854</v>
      </c>
      <c r="R46" s="422">
        <f t="shared" si="28"/>
        <v>6.5526462336533031</v>
      </c>
      <c r="S46" s="422">
        <f t="shared" si="28"/>
        <v>7.1134643652730256</v>
      </c>
      <c r="T46" s="422">
        <f t="shared" si="28"/>
        <v>6.5902445456167191</v>
      </c>
      <c r="U46" s="422">
        <f t="shared" si="28"/>
        <v>7.3194077798160562</v>
      </c>
      <c r="V46" s="422">
        <f t="shared" si="28"/>
        <v>7.8819067286135081</v>
      </c>
      <c r="W46" s="422">
        <f t="shared" si="28"/>
        <v>3.4480334348321984</v>
      </c>
      <c r="X46" s="422">
        <f t="shared" si="28"/>
        <v>6.9386710537790552</v>
      </c>
      <c r="Y46" s="422">
        <f t="shared" si="28"/>
        <v>7.0998252471007994</v>
      </c>
      <c r="Z46" s="423">
        <f t="shared" si="28"/>
        <v>5.775115855083901</v>
      </c>
      <c r="AA46" s="423">
        <f t="shared" si="28"/>
        <v>5.6430239712543573</v>
      </c>
      <c r="AB46" s="423">
        <f t="shared" si="28"/>
        <v>5.6820214633648725</v>
      </c>
      <c r="AC46" s="423">
        <f t="shared" si="28"/>
        <v>5.9219087847452778</v>
      </c>
    </row>
    <row r="47" spans="1:37" ht="15" x14ac:dyDescent="0.25">
      <c r="A47" s="89"/>
      <c r="B47" s="293"/>
      <c r="C47" s="115"/>
      <c r="D47" s="115"/>
      <c r="E47" s="115"/>
      <c r="F47" s="115"/>
      <c r="G47" s="93"/>
      <c r="H47" s="419" t="s">
        <v>29</v>
      </c>
      <c r="I47" s="424"/>
      <c r="J47" s="424">
        <f t="shared" ref="J47:J60" si="29">+(J17/I17-1)*100</f>
        <v>6.6924962778930119</v>
      </c>
      <c r="K47" s="424">
        <f t="shared" ref="K47:AC47" si="30">+(K17/J17-1)*100</f>
        <v>4.493867886429026</v>
      </c>
      <c r="L47" s="424">
        <f t="shared" si="30"/>
        <v>3.4660884570676176</v>
      </c>
      <c r="M47" s="424">
        <f t="shared" si="30"/>
        <v>6.1519471295687467</v>
      </c>
      <c r="N47" s="424">
        <f t="shared" si="30"/>
        <v>4.4563689946151008</v>
      </c>
      <c r="O47" s="424">
        <f t="shared" si="30"/>
        <v>3.0142714074249177</v>
      </c>
      <c r="P47" s="424">
        <f t="shared" si="30"/>
        <v>2.4648875369782886</v>
      </c>
      <c r="Q47" s="424">
        <f t="shared" si="30"/>
        <v>4.3718700526504062</v>
      </c>
      <c r="R47" s="424">
        <f t="shared" si="30"/>
        <v>3.3283810652028123</v>
      </c>
      <c r="S47" s="424">
        <f t="shared" si="30"/>
        <v>-5.8045578156384225</v>
      </c>
      <c r="T47" s="424">
        <f t="shared" si="30"/>
        <v>3.1960072270620588</v>
      </c>
      <c r="U47" s="424">
        <f t="shared" si="30"/>
        <v>3.5445399011226897</v>
      </c>
      <c r="V47" s="424">
        <f t="shared" si="30"/>
        <v>3.2605776835202605</v>
      </c>
      <c r="W47" s="424">
        <f t="shared" si="30"/>
        <v>3.4209479315653324</v>
      </c>
      <c r="X47" s="424">
        <f t="shared" si="30"/>
        <v>3.1745404688696022</v>
      </c>
      <c r="Y47" s="424">
        <f t="shared" si="30"/>
        <v>3.0539818698030352</v>
      </c>
      <c r="Z47" s="425">
        <f t="shared" si="30"/>
        <v>3.3714392206769972</v>
      </c>
      <c r="AA47" s="425">
        <f t="shared" si="30"/>
        <v>3.0999999999999917</v>
      </c>
      <c r="AB47" s="425">
        <f t="shared" si="30"/>
        <v>3.0999999999999917</v>
      </c>
      <c r="AC47" s="425">
        <f t="shared" si="30"/>
        <v>3.2000000000000028</v>
      </c>
    </row>
    <row r="48" spans="1:37" ht="15" x14ac:dyDescent="0.25">
      <c r="A48" s="89"/>
      <c r="B48" s="293"/>
      <c r="C48" s="115"/>
      <c r="D48" s="115"/>
      <c r="E48" s="115"/>
      <c r="F48" s="115"/>
      <c r="G48" s="93"/>
      <c r="H48" s="419" t="s">
        <v>31</v>
      </c>
      <c r="I48" s="424"/>
      <c r="J48" s="424">
        <f t="shared" si="29"/>
        <v>9.0278282356848205</v>
      </c>
      <c r="K48" s="424">
        <f t="shared" ref="K48:AC48" si="31">+(K18/J18-1)*100</f>
        <v>7.0335340392611689</v>
      </c>
      <c r="L48" s="424">
        <f t="shared" si="31"/>
        <v>6.9131732581569683</v>
      </c>
      <c r="M48" s="424">
        <f t="shared" si="31"/>
        <v>7.0322019580384865</v>
      </c>
      <c r="N48" s="424">
        <f t="shared" si="31"/>
        <v>9.0191301754434008</v>
      </c>
      <c r="O48" s="424">
        <f t="shared" si="31"/>
        <v>9.4355987612931624</v>
      </c>
      <c r="P48" s="424">
        <f t="shared" si="31"/>
        <v>9.6393589100867381</v>
      </c>
      <c r="Q48" s="424">
        <f t="shared" si="31"/>
        <v>8.160014235284363</v>
      </c>
      <c r="R48" s="424">
        <f t="shared" si="31"/>
        <v>9.6669048552676209</v>
      </c>
      <c r="S48" s="424">
        <f t="shared" si="31"/>
        <v>14.316122283989507</v>
      </c>
      <c r="T48" s="424">
        <f t="shared" si="31"/>
        <v>8.2721648525445168</v>
      </c>
      <c r="U48" s="424">
        <f t="shared" si="31"/>
        <v>10.19581391985116</v>
      </c>
      <c r="V48" s="424">
        <f t="shared" si="31"/>
        <v>11.633323452290023</v>
      </c>
      <c r="W48" s="424">
        <f t="shared" si="31"/>
        <v>3.6110899625823922</v>
      </c>
      <c r="X48" s="424">
        <f t="shared" si="31"/>
        <v>10.287102628335877</v>
      </c>
      <c r="Y48" s="424">
        <f t="shared" si="31"/>
        <v>9.8556838112562559</v>
      </c>
      <c r="Z48" s="425">
        <f t="shared" si="31"/>
        <v>8.367331362803121</v>
      </c>
      <c r="AA48" s="425">
        <f t="shared" si="31"/>
        <v>6.6000000000000059</v>
      </c>
      <c r="AB48" s="425">
        <f t="shared" si="31"/>
        <v>7.2000000000000064</v>
      </c>
      <c r="AC48" s="425">
        <f t="shared" si="31"/>
        <v>6.800000000000006</v>
      </c>
    </row>
    <row r="49" spans="1:29" ht="15" x14ac:dyDescent="0.25">
      <c r="A49" s="89"/>
      <c r="B49" s="293"/>
      <c r="C49" s="115"/>
      <c r="D49" s="115"/>
      <c r="E49" s="115"/>
      <c r="F49" s="115"/>
      <c r="G49" s="93"/>
      <c r="H49" s="408" t="s">
        <v>443</v>
      </c>
      <c r="I49" s="424"/>
      <c r="J49" s="422">
        <f t="shared" si="29"/>
        <v>6.7433952665648667</v>
      </c>
      <c r="K49" s="422">
        <f t="shared" ref="K49:AC49" si="32">+(K19/J19-1)*100</f>
        <v>5.9877893857283704</v>
      </c>
      <c r="L49" s="422">
        <f t="shared" si="32"/>
        <v>6.5774962308716933</v>
      </c>
      <c r="M49" s="422">
        <f t="shared" si="32"/>
        <v>7.2094397579831382</v>
      </c>
      <c r="N49" s="422">
        <f t="shared" si="32"/>
        <v>6.9532277699030587</v>
      </c>
      <c r="O49" s="422">
        <f t="shared" si="32"/>
        <v>8.4247002556692596</v>
      </c>
      <c r="P49" s="422">
        <f t="shared" si="32"/>
        <v>8.0426129516743892</v>
      </c>
      <c r="Q49" s="422">
        <f t="shared" si="32"/>
        <v>8.08216411515399</v>
      </c>
      <c r="R49" s="422">
        <f t="shared" si="32"/>
        <v>8.5993330613478811</v>
      </c>
      <c r="S49" s="422">
        <f t="shared" si="32"/>
        <v>22.586448645966328</v>
      </c>
      <c r="T49" s="422">
        <f t="shared" si="32"/>
        <v>9.7589328590923063</v>
      </c>
      <c r="U49" s="422">
        <f t="shared" si="32"/>
        <v>10.057274960653118</v>
      </c>
      <c r="V49" s="422">
        <f t="shared" si="32"/>
        <v>10.474449456332025</v>
      </c>
      <c r="W49" s="422">
        <f t="shared" si="32"/>
        <v>9.1258563629474487</v>
      </c>
      <c r="X49" s="422">
        <f t="shared" si="32"/>
        <v>8.0788559968487874</v>
      </c>
      <c r="Y49" s="422">
        <f t="shared" si="32"/>
        <v>8.7094316183575327</v>
      </c>
      <c r="Z49" s="423">
        <f t="shared" si="32"/>
        <v>6.9812897214777125</v>
      </c>
      <c r="AA49" s="423">
        <f t="shared" si="32"/>
        <v>1.6931574812975914</v>
      </c>
      <c r="AB49" s="423">
        <f t="shared" si="32"/>
        <v>7.0022712452559865</v>
      </c>
      <c r="AC49" s="423">
        <f t="shared" si="32"/>
        <v>9.1473918192328085</v>
      </c>
    </row>
    <row r="50" spans="1:29" ht="15" x14ac:dyDescent="0.25">
      <c r="A50" s="89"/>
      <c r="B50" s="293"/>
      <c r="C50" s="115"/>
      <c r="D50" s="115"/>
      <c r="E50" s="115"/>
      <c r="F50" s="115"/>
      <c r="G50" s="93"/>
      <c r="H50" s="408" t="s">
        <v>444</v>
      </c>
      <c r="I50" s="422"/>
      <c r="J50" s="422">
        <f t="shared" si="29"/>
        <v>9.8164366582488949</v>
      </c>
      <c r="K50" s="422">
        <f t="shared" ref="K50:AC50" si="33">+(K20/J20-1)*100</f>
        <v>7.3844331840863919</v>
      </c>
      <c r="L50" s="422">
        <f t="shared" si="33"/>
        <v>7.0243445832813833</v>
      </c>
      <c r="M50" s="422">
        <f t="shared" si="33"/>
        <v>6.9737484676685169</v>
      </c>
      <c r="N50" s="422">
        <f t="shared" si="33"/>
        <v>9.7019713678047523</v>
      </c>
      <c r="O50" s="422">
        <f t="shared" si="33"/>
        <v>9.7613581407400396</v>
      </c>
      <c r="P50" s="422">
        <f t="shared" si="33"/>
        <v>10.1476400065023</v>
      </c>
      <c r="Q50" s="422">
        <f t="shared" si="33"/>
        <v>8.1843221274948483</v>
      </c>
      <c r="R50" s="422">
        <f t="shared" si="33"/>
        <v>9.9999283005072215</v>
      </c>
      <c r="S50" s="422">
        <f t="shared" si="33"/>
        <v>11.769086054161694</v>
      </c>
      <c r="T50" s="422">
        <f t="shared" si="33"/>
        <v>7.7699651564186567</v>
      </c>
      <c r="U50" s="422">
        <f t="shared" si="33"/>
        <v>10.243473179609763</v>
      </c>
      <c r="V50" s="422">
        <f t="shared" si="33"/>
        <v>12.031318307584971</v>
      </c>
      <c r="W50" s="422">
        <f t="shared" si="33"/>
        <v>1.7434603096140089</v>
      </c>
      <c r="X50" s="422">
        <f t="shared" si="33"/>
        <v>11.089209759265529</v>
      </c>
      <c r="Y50" s="422">
        <f t="shared" si="33"/>
        <v>10.260757320076387</v>
      </c>
      <c r="Z50" s="423">
        <f t="shared" si="33"/>
        <v>8.8502524776017388</v>
      </c>
      <c r="AA50" s="423">
        <f t="shared" si="33"/>
        <v>8.280275228269641</v>
      </c>
      <c r="AB50" s="423">
        <f t="shared" si="33"/>
        <v>7.2635902477755643</v>
      </c>
      <c r="AC50" s="423">
        <f t="shared" si="33"/>
        <v>6.0469098981218439</v>
      </c>
    </row>
    <row r="51" spans="1:29" ht="15" x14ac:dyDescent="0.25">
      <c r="A51" s="89"/>
      <c r="B51" s="293"/>
      <c r="C51" s="115"/>
      <c r="D51" s="115"/>
      <c r="E51" s="115"/>
      <c r="F51" s="115"/>
      <c r="G51" s="93"/>
      <c r="H51" s="419" t="s">
        <v>33</v>
      </c>
      <c r="I51" s="298"/>
      <c r="J51" s="424">
        <f t="shared" si="29"/>
        <v>6.4851141240002574</v>
      </c>
      <c r="K51" s="424">
        <f t="shared" ref="K51:AC51" si="34">+(K21/J21-1)*100</f>
        <v>5.7623827238199921</v>
      </c>
      <c r="L51" s="424">
        <f t="shared" si="34"/>
        <v>5.0799702449283446</v>
      </c>
      <c r="M51" s="424">
        <f t="shared" si="34"/>
        <v>5.5288293397825594</v>
      </c>
      <c r="N51" s="424">
        <f t="shared" si="34"/>
        <v>6.2166258766456206</v>
      </c>
      <c r="O51" s="424">
        <f t="shared" si="34"/>
        <v>6.5760565415534433</v>
      </c>
      <c r="P51" s="424">
        <f t="shared" si="34"/>
        <v>5.5141562639144492</v>
      </c>
      <c r="Q51" s="424">
        <f t="shared" si="34"/>
        <v>5.6243574779278438</v>
      </c>
      <c r="R51" s="424">
        <f t="shared" si="34"/>
        <v>5.8010617659051578</v>
      </c>
      <c r="S51" s="424">
        <f t="shared" si="34"/>
        <v>6.9827719805098054</v>
      </c>
      <c r="T51" s="424">
        <f t="shared" si="34"/>
        <v>6.374987958408318</v>
      </c>
      <c r="U51" s="424">
        <f t="shared" si="34"/>
        <v>6.5536210828342822</v>
      </c>
      <c r="V51" s="424">
        <f t="shared" si="34"/>
        <v>6.8798142311718102</v>
      </c>
      <c r="W51" s="424">
        <f t="shared" si="34"/>
        <v>3.9328627376917336</v>
      </c>
      <c r="X51" s="424">
        <f t="shared" si="34"/>
        <v>5.7321671253898643</v>
      </c>
      <c r="Y51" s="424">
        <f t="shared" si="34"/>
        <v>6.2566752865046649</v>
      </c>
      <c r="Z51" s="425">
        <f t="shared" si="34"/>
        <v>5.3712425094595506</v>
      </c>
      <c r="AA51" s="425">
        <f t="shared" si="34"/>
        <v>5.6386929475692904</v>
      </c>
      <c r="AB51" s="425">
        <f t="shared" si="34"/>
        <v>5.1098360667288345</v>
      </c>
      <c r="AC51" s="141">
        <f t="shared" si="34"/>
        <v>5.8214342249091944</v>
      </c>
    </row>
    <row r="52" spans="1:29" ht="15" x14ac:dyDescent="0.25">
      <c r="A52" s="89"/>
      <c r="B52" s="293"/>
      <c r="C52" s="115"/>
      <c r="D52" s="115"/>
      <c r="E52" s="115"/>
      <c r="F52" s="115"/>
      <c r="G52" s="93"/>
      <c r="H52" s="408" t="s">
        <v>448</v>
      </c>
      <c r="I52" s="422"/>
      <c r="J52" s="422">
        <f t="shared" si="29"/>
        <v>9.4215468295678626</v>
      </c>
      <c r="K52" s="422">
        <f t="shared" ref="K52:AC52" si="35">+(K22/J22-1)*100</f>
        <v>8.2562230930318226</v>
      </c>
      <c r="L52" s="422">
        <f t="shared" si="35"/>
        <v>8.0521665371169995</v>
      </c>
      <c r="M52" s="422">
        <f t="shared" si="35"/>
        <v>7.5484235113780995</v>
      </c>
      <c r="N52" s="422">
        <f t="shared" si="35"/>
        <v>8.4421562006532724</v>
      </c>
      <c r="O52" s="422">
        <f t="shared" si="35"/>
        <v>9.1507737643105713</v>
      </c>
      <c r="P52" s="422">
        <f t="shared" si="35"/>
        <v>6.2738598348670349</v>
      </c>
      <c r="Q52" s="422">
        <f t="shared" si="35"/>
        <v>6.0466675379182933</v>
      </c>
      <c r="R52" s="422">
        <f t="shared" si="35"/>
        <v>5.9642268195791104</v>
      </c>
      <c r="S52" s="422">
        <f t="shared" si="35"/>
        <v>-13.733305589496858</v>
      </c>
      <c r="T52" s="422">
        <f t="shared" si="35"/>
        <v>6.4279198876536325</v>
      </c>
      <c r="U52" s="422">
        <f t="shared" si="35"/>
        <v>6.7417883797705969</v>
      </c>
      <c r="V52" s="422">
        <f t="shared" si="35"/>
        <v>7.0567185043481917</v>
      </c>
      <c r="W52" s="422">
        <f t="shared" si="35"/>
        <v>2.4014187197080705</v>
      </c>
      <c r="X52" s="422">
        <f t="shared" si="35"/>
        <v>4.4817650426980826</v>
      </c>
      <c r="Y52" s="422">
        <f t="shared" si="35"/>
        <v>5.6083104884278701</v>
      </c>
      <c r="Z52" s="423">
        <f t="shared" si="35"/>
        <v>5.6143942173537686</v>
      </c>
      <c r="AA52" s="423">
        <f t="shared" si="35"/>
        <v>6.7137664498186256</v>
      </c>
      <c r="AB52" s="423">
        <f t="shared" si="35"/>
        <v>8.9572838413643829</v>
      </c>
      <c r="AC52" s="423">
        <f t="shared" si="35"/>
        <v>8.9733487922753596</v>
      </c>
    </row>
    <row r="53" spans="1:29" ht="15" x14ac:dyDescent="0.25">
      <c r="A53" s="89"/>
      <c r="B53" s="293"/>
      <c r="C53" s="115"/>
      <c r="D53" s="115"/>
      <c r="E53" s="115"/>
      <c r="F53" s="115"/>
      <c r="G53" s="93"/>
      <c r="H53" s="408" t="s">
        <v>449</v>
      </c>
      <c r="I53" s="424"/>
      <c r="J53" s="422">
        <f t="shared" si="29"/>
        <v>6.4934716518118663</v>
      </c>
      <c r="K53" s="422">
        <f t="shared" ref="K53:AC53" si="36">+(K23/J23-1)*100</f>
        <v>3.9213948697277123</v>
      </c>
      <c r="L53" s="422">
        <f t="shared" si="36"/>
        <v>-2.7763758377907788E-2</v>
      </c>
      <c r="M53" s="422">
        <f t="shared" si="36"/>
        <v>6.2458798185289544</v>
      </c>
      <c r="N53" s="422">
        <f t="shared" si="36"/>
        <v>10.443735262259102</v>
      </c>
      <c r="O53" s="422">
        <f t="shared" si="36"/>
        <v>14.758306872198791</v>
      </c>
      <c r="P53" s="422">
        <f t="shared" si="36"/>
        <v>9.1127412832822117</v>
      </c>
      <c r="Q53" s="422">
        <f t="shared" si="36"/>
        <v>7.2713812092139563</v>
      </c>
      <c r="R53" s="422">
        <f t="shared" si="36"/>
        <v>7.7817354508453951</v>
      </c>
      <c r="S53" s="422">
        <f t="shared" si="36"/>
        <v>3.947131211966548</v>
      </c>
      <c r="T53" s="422">
        <f t="shared" si="36"/>
        <v>5.3046182973832678</v>
      </c>
      <c r="U53" s="422">
        <f t="shared" si="36"/>
        <v>6.9390894205483944</v>
      </c>
      <c r="V53" s="422">
        <f t="shared" si="36"/>
        <v>8.2499184615364207</v>
      </c>
      <c r="W53" s="422">
        <f t="shared" si="36"/>
        <v>4.7201529933676545</v>
      </c>
      <c r="X53" s="422">
        <f t="shared" si="36"/>
        <v>5.818131913771829</v>
      </c>
      <c r="Y53" s="422">
        <f t="shared" si="36"/>
        <v>5.8709296491844309</v>
      </c>
      <c r="Z53" s="423">
        <f t="shared" si="36"/>
        <v>2.547885000779071</v>
      </c>
      <c r="AA53" s="423">
        <f t="shared" si="36"/>
        <v>6.5931688902191476</v>
      </c>
      <c r="AB53" s="423">
        <f t="shared" si="36"/>
        <v>6.800000000000006</v>
      </c>
      <c r="AC53" s="423">
        <f t="shared" si="36"/>
        <v>8.2000000000000064</v>
      </c>
    </row>
    <row r="54" spans="1:29" ht="15" x14ac:dyDescent="0.25">
      <c r="A54" s="89"/>
      <c r="B54" s="293"/>
      <c r="C54" s="115"/>
      <c r="D54" s="115"/>
      <c r="E54" s="115"/>
      <c r="F54" s="115"/>
      <c r="G54" s="93"/>
      <c r="H54" s="408" t="s">
        <v>450</v>
      </c>
      <c r="I54" s="424"/>
      <c r="J54" s="422">
        <f t="shared" si="29"/>
        <v>5.7795943701448138</v>
      </c>
      <c r="K54" s="422">
        <f t="shared" ref="K54:AC54" si="37">+(K24/J24-1)*100</f>
        <v>5.2791402204589222</v>
      </c>
      <c r="L54" s="422">
        <f t="shared" si="37"/>
        <v>4.6935809605995527</v>
      </c>
      <c r="M54" s="422">
        <f t="shared" si="37"/>
        <v>4.9466576730340162</v>
      </c>
      <c r="N54" s="422">
        <f t="shared" si="37"/>
        <v>5.3175333509488665</v>
      </c>
      <c r="O54" s="422">
        <f t="shared" si="37"/>
        <v>5.255075445732027</v>
      </c>
      <c r="P54" s="422">
        <f t="shared" si="37"/>
        <v>5.0049716897572871</v>
      </c>
      <c r="Q54" s="422">
        <f t="shared" si="37"/>
        <v>5.3631309995642029</v>
      </c>
      <c r="R54" s="422">
        <f t="shared" si="37"/>
        <v>5.5842043634376948</v>
      </c>
      <c r="S54" s="422">
        <f t="shared" si="37"/>
        <v>13.354315274524641</v>
      </c>
      <c r="T54" s="422">
        <f t="shared" si="37"/>
        <v>6.4485681572462372</v>
      </c>
      <c r="U54" s="422">
        <f t="shared" si="37"/>
        <v>6.4809680425400806</v>
      </c>
      <c r="V54" s="422">
        <f t="shared" si="37"/>
        <v>6.7313585379567442</v>
      </c>
      <c r="W54" s="422">
        <f t="shared" si="37"/>
        <v>4.2149443851431601</v>
      </c>
      <c r="X54" s="422">
        <f t="shared" si="37"/>
        <v>6.0023386923176769</v>
      </c>
      <c r="Y54" s="422">
        <f t="shared" si="37"/>
        <v>6.4294368901948173</v>
      </c>
      <c r="Z54" s="423">
        <f t="shared" si="37"/>
        <v>5.5451795194183973</v>
      </c>
      <c r="AA54" s="423">
        <f t="shared" si="37"/>
        <v>5.331062362169825</v>
      </c>
      <c r="AB54" s="423">
        <f t="shared" si="37"/>
        <v>4.1309550456509303</v>
      </c>
      <c r="AC54" s="423">
        <f t="shared" si="37"/>
        <v>4.9041472115346485</v>
      </c>
    </row>
    <row r="55" spans="1:29" ht="15" x14ac:dyDescent="0.25">
      <c r="A55" s="89"/>
      <c r="B55" s="293"/>
      <c r="C55" s="115"/>
      <c r="D55" s="115"/>
      <c r="E55" s="115"/>
      <c r="F55" s="115"/>
      <c r="G55" s="93"/>
      <c r="H55" s="418" t="s">
        <v>456</v>
      </c>
      <c r="I55" s="422"/>
      <c r="J55" s="422">
        <f>+(J25/I25-1)*100</f>
        <v>5.7536104920482778</v>
      </c>
      <c r="K55" s="422">
        <f t="shared" ref="K55:AC55" si="38">+(K25/J25-1)*100</f>
        <v>4.8060154053400472</v>
      </c>
      <c r="L55" s="422">
        <f t="shared" si="38"/>
        <v>3.8782366852764705</v>
      </c>
      <c r="M55" s="422">
        <f t="shared" si="38"/>
        <v>4.3914297599788377</v>
      </c>
      <c r="N55" s="422">
        <f t="shared" si="38"/>
        <v>5.253337516906087</v>
      </c>
      <c r="O55" s="422">
        <f t="shared" si="38"/>
        <v>5.2989561901779947</v>
      </c>
      <c r="P55" s="422">
        <f t="shared" si="38"/>
        <v>3.9321855304708997</v>
      </c>
      <c r="Q55" s="422">
        <f t="shared" si="38"/>
        <v>4.7478131842357829</v>
      </c>
      <c r="R55" s="422">
        <f t="shared" si="38"/>
        <v>5.2910670879302124</v>
      </c>
      <c r="S55" s="422">
        <f t="shared" si="38"/>
        <v>5.8031960568798224</v>
      </c>
      <c r="T55" s="422">
        <f t="shared" si="38"/>
        <v>5.2664503870241353</v>
      </c>
      <c r="U55" s="422">
        <f t="shared" si="38"/>
        <v>6.0802329745036854</v>
      </c>
      <c r="V55" s="422">
        <f t="shared" si="38"/>
        <v>6.6876543975628477</v>
      </c>
      <c r="W55" s="422">
        <f t="shared" si="38"/>
        <v>2.2711169969588108</v>
      </c>
      <c r="X55" s="422">
        <f t="shared" si="38"/>
        <v>5.7166411088059643</v>
      </c>
      <c r="Y55" s="422">
        <f t="shared" si="38"/>
        <v>5.9548407314181429</v>
      </c>
      <c r="Z55" s="423">
        <f t="shared" si="38"/>
        <v>4.6938783696208741</v>
      </c>
      <c r="AA55" s="423">
        <f t="shared" si="38"/>
        <v>4.5866663628849835</v>
      </c>
      <c r="AB55" s="423">
        <f t="shared" si="38"/>
        <v>4.6515083709341098</v>
      </c>
      <c r="AC55" s="423">
        <f t="shared" si="38"/>
        <v>4.9200409911033471</v>
      </c>
    </row>
    <row r="56" spans="1:29" ht="15" x14ac:dyDescent="0.25">
      <c r="A56" s="89"/>
      <c r="B56" s="293"/>
      <c r="C56" s="115"/>
      <c r="D56" s="115"/>
      <c r="E56" s="115"/>
      <c r="F56" s="115"/>
      <c r="G56" s="93"/>
      <c r="H56" s="426"/>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8" t="s">
        <v>461</v>
      </c>
      <c r="I57" s="424"/>
      <c r="J57" s="424"/>
      <c r="K57" s="424">
        <f t="shared" ref="K57:AC57" si="39">+(K27/J27-1)*100</f>
        <v>0.89177610256430118</v>
      </c>
      <c r="L57" s="424">
        <f t="shared" si="39"/>
        <v>0.88398818467061435</v>
      </c>
      <c r="M57" s="424">
        <f t="shared" si="39"/>
        <v>1.1480899109664433</v>
      </c>
      <c r="N57" s="424">
        <f t="shared" si="39"/>
        <v>1.2263903961784228</v>
      </c>
      <c r="O57" s="424">
        <f t="shared" si="39"/>
        <v>1.2513424110047078</v>
      </c>
      <c r="P57" s="424">
        <f t="shared" si="39"/>
        <v>1.2752155448961577</v>
      </c>
      <c r="Q57" s="424">
        <f t="shared" si="39"/>
        <v>1.2537595897337939</v>
      </c>
      <c r="R57" s="424">
        <f t="shared" si="39"/>
        <v>1.1981806227913339</v>
      </c>
      <c r="S57" s="424">
        <f t="shared" si="39"/>
        <v>1.2383953009543092</v>
      </c>
      <c r="T57" s="424">
        <f t="shared" si="39"/>
        <v>1.2575679399245976</v>
      </c>
      <c r="U57" s="298">
        <f t="shared" si="39"/>
        <v>1.1681520020740743</v>
      </c>
      <c r="V57" s="298">
        <f t="shared" si="39"/>
        <v>1.1193889323506179</v>
      </c>
      <c r="W57" s="298">
        <f t="shared" si="39"/>
        <v>1.1507779237745597</v>
      </c>
      <c r="X57" s="298">
        <f t="shared" si="39"/>
        <v>1.1559501969495622</v>
      </c>
      <c r="Y57" s="298">
        <f t="shared" si="39"/>
        <v>1.0806356035549802</v>
      </c>
      <c r="Z57" s="141">
        <f t="shared" si="39"/>
        <v>1.0327599838486412</v>
      </c>
      <c r="AA57" s="141">
        <f t="shared" si="39"/>
        <v>1.010036936023373</v>
      </c>
      <c r="AB57" s="141">
        <f t="shared" si="39"/>
        <v>0.98470472090717021</v>
      </c>
      <c r="AC57" s="141">
        <f t="shared" si="39"/>
        <v>0.95489000134925117</v>
      </c>
    </row>
    <row r="58" spans="1:29" ht="15" x14ac:dyDescent="0.25">
      <c r="A58" s="89"/>
      <c r="B58" s="293"/>
      <c r="C58" s="115"/>
      <c r="D58" s="115"/>
      <c r="E58" s="115"/>
      <c r="F58" s="115"/>
      <c r="G58" s="93"/>
      <c r="H58" s="418" t="s">
        <v>462</v>
      </c>
      <c r="I58" s="298"/>
      <c r="J58" s="298">
        <f t="shared" si="29"/>
        <v>1.23402473726415</v>
      </c>
      <c r="K58" s="298">
        <f t="shared" ref="K58:AC58" si="40">+(K28/J28-1)*100</f>
        <v>1.1523902986120937</v>
      </c>
      <c r="L58" s="298">
        <f t="shared" si="40"/>
        <v>1.1233229848098381</v>
      </c>
      <c r="M58" s="298">
        <f t="shared" si="40"/>
        <v>1.1307178345040247</v>
      </c>
      <c r="N58" s="298">
        <f t="shared" si="40"/>
        <v>1.1506013891241729</v>
      </c>
      <c r="O58" s="298">
        <f t="shared" si="40"/>
        <v>1.1609601200484931</v>
      </c>
      <c r="P58" s="298">
        <f t="shared" si="40"/>
        <v>2.0026621458749894</v>
      </c>
      <c r="Q58" s="298">
        <f t="shared" si="40"/>
        <v>1.253753973086047</v>
      </c>
      <c r="R58" s="298">
        <f t="shared" si="40"/>
        <v>1.1981825055201734</v>
      </c>
      <c r="S58" s="298">
        <f t="shared" si="40"/>
        <v>1.2384014445922853</v>
      </c>
      <c r="T58" s="298">
        <f t="shared" si="40"/>
        <v>1.2575651156902179</v>
      </c>
      <c r="U58" s="298">
        <f t="shared" si="40"/>
        <v>1.1681486461386337</v>
      </c>
      <c r="V58" s="298">
        <f t="shared" si="40"/>
        <v>1.1193913089516005</v>
      </c>
      <c r="W58" s="298">
        <f t="shared" si="40"/>
        <v>1.1507808582049472</v>
      </c>
      <c r="X58" s="298">
        <f t="shared" si="40"/>
        <v>1.155948516861538</v>
      </c>
      <c r="Y58" s="298">
        <f t="shared" si="40"/>
        <v>1.0806344549986635</v>
      </c>
      <c r="Z58" s="141">
        <f t="shared" si="40"/>
        <v>1.0327609429519047</v>
      </c>
      <c r="AA58" s="141">
        <f t="shared" si="40"/>
        <v>1.0100308625423882</v>
      </c>
      <c r="AB58" s="141">
        <f t="shared" si="40"/>
        <v>0.98470925882707672</v>
      </c>
      <c r="AC58" s="141">
        <f t="shared" si="40"/>
        <v>0.95488696361343273</v>
      </c>
    </row>
    <row r="59" spans="1:29" ht="15" x14ac:dyDescent="0.25">
      <c r="A59" s="89"/>
      <c r="B59" s="293"/>
      <c r="C59" s="115"/>
      <c r="D59" s="115"/>
      <c r="E59" s="115"/>
      <c r="F59" s="115"/>
      <c r="G59" s="93"/>
      <c r="H59" s="418" t="s">
        <v>463</v>
      </c>
      <c r="I59" s="298"/>
      <c r="J59" s="298">
        <f t="shared" si="29"/>
        <v>1.056660837387069</v>
      </c>
      <c r="K59" s="298">
        <f t="shared" ref="K59:AC59" si="41">+(K29/J29-1)*100</f>
        <v>0.89178594423233726</v>
      </c>
      <c r="L59" s="298">
        <f t="shared" si="41"/>
        <v>0.88397768475734217</v>
      </c>
      <c r="M59" s="298">
        <f t="shared" si="41"/>
        <v>1.1480918983924449</v>
      </c>
      <c r="N59" s="298">
        <f t="shared" si="41"/>
        <v>1.2263980263673258</v>
      </c>
      <c r="O59" s="298">
        <f t="shared" si="41"/>
        <v>1.2513357460060881</v>
      </c>
      <c r="P59" s="298">
        <f t="shared" si="41"/>
        <v>1.2752197539771082</v>
      </c>
      <c r="Q59" s="298">
        <f t="shared" si="41"/>
        <v>1.2537546304492997</v>
      </c>
      <c r="R59" s="298">
        <f t="shared" si="41"/>
        <v>1.1981825055201734</v>
      </c>
      <c r="S59" s="298">
        <f t="shared" si="41"/>
        <v>1.238400810999174</v>
      </c>
      <c r="T59" s="298">
        <f t="shared" si="41"/>
        <v>1.2575657494032777</v>
      </c>
      <c r="U59" s="298">
        <f t="shared" si="41"/>
        <v>1.1681486461386115</v>
      </c>
      <c r="V59" s="298">
        <f t="shared" si="41"/>
        <v>1.1193913089516005</v>
      </c>
      <c r="W59" s="298">
        <f t="shared" si="41"/>
        <v>1.1507808582049472</v>
      </c>
      <c r="X59" s="298">
        <f t="shared" si="41"/>
        <v>1.155948516861538</v>
      </c>
      <c r="Y59" s="298">
        <f t="shared" si="41"/>
        <v>1.0806338645273916</v>
      </c>
      <c r="Z59" s="141">
        <f t="shared" si="41"/>
        <v>1.0327615331435336</v>
      </c>
      <c r="AA59" s="141">
        <f t="shared" si="41"/>
        <v>1.0100308625423882</v>
      </c>
      <c r="AB59" s="141">
        <f t="shared" si="41"/>
        <v>0.98470868642117626</v>
      </c>
      <c r="AC59" s="141">
        <f t="shared" si="41"/>
        <v>0.95488753585029063</v>
      </c>
    </row>
    <row r="60" spans="1:29" ht="15" x14ac:dyDescent="0.25">
      <c r="A60" s="89"/>
      <c r="B60" s="293"/>
      <c r="C60" s="115"/>
      <c r="D60" s="115"/>
      <c r="E60" s="115"/>
      <c r="F60" s="115"/>
      <c r="G60" s="93"/>
      <c r="H60" s="418" t="s">
        <v>464</v>
      </c>
      <c r="I60" s="298"/>
      <c r="J60" s="298">
        <f t="shared" si="29"/>
        <v>1.0814480189225373</v>
      </c>
      <c r="K60" s="298">
        <f t="shared" ref="K60:AC60" si="42">+(K30/J30-1)*100</f>
        <v>1.0034412763335387</v>
      </c>
      <c r="L60" s="298">
        <f t="shared" si="42"/>
        <v>0.9362484666131099</v>
      </c>
      <c r="M60" s="298">
        <f t="shared" si="42"/>
        <v>0.88038364323688167</v>
      </c>
      <c r="N60" s="298">
        <f t="shared" si="42"/>
        <v>0.91266485909711204</v>
      </c>
      <c r="O60" s="298">
        <f t="shared" si="42"/>
        <v>0.96296350239437611</v>
      </c>
      <c r="P60" s="298">
        <f t="shared" si="42"/>
        <v>0.94282455860776881</v>
      </c>
      <c r="Q60" s="298">
        <f t="shared" si="42"/>
        <v>0.91533150663074547</v>
      </c>
      <c r="R60" s="298">
        <f t="shared" si="42"/>
        <v>0.89782619057747759</v>
      </c>
      <c r="S60" s="298">
        <f t="shared" si="42"/>
        <v>0.89642678039443258</v>
      </c>
      <c r="T60" s="298">
        <f t="shared" si="42"/>
        <v>0.85454728305065508</v>
      </c>
      <c r="U60" s="298">
        <f t="shared" si="42"/>
        <v>0.82433489471926968</v>
      </c>
      <c r="V60" s="298">
        <f t="shared" si="42"/>
        <v>0.85000313120890958</v>
      </c>
      <c r="W60" s="298">
        <f t="shared" si="42"/>
        <v>0.83981768453686989</v>
      </c>
      <c r="X60" s="298">
        <f t="shared" si="42"/>
        <v>0.81830828007913858</v>
      </c>
      <c r="Y60" s="298">
        <f t="shared" si="42"/>
        <v>1.0294970731772546</v>
      </c>
      <c r="Z60" s="141">
        <f t="shared" si="42"/>
        <v>1.2292078755132163</v>
      </c>
      <c r="AA60" s="141">
        <f t="shared" si="42"/>
        <v>1.2220276334237834</v>
      </c>
      <c r="AB60" s="141">
        <f t="shared" si="42"/>
        <v>1.2240761482137819</v>
      </c>
      <c r="AC60" s="141">
        <f t="shared" si="42"/>
        <v>1.2130358074877501</v>
      </c>
    </row>
    <row r="61" spans="1:29" ht="15" x14ac:dyDescent="0.25">
      <c r="A61" s="89"/>
      <c r="B61" s="293"/>
      <c r="C61" s="115"/>
      <c r="D61" s="115"/>
      <c r="E61" s="115"/>
      <c r="F61" s="115"/>
      <c r="G61" s="93"/>
      <c r="H61" s="426"/>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8" t="s">
        <v>624</v>
      </c>
      <c r="I62" s="298"/>
      <c r="J62" s="298" t="e">
        <f t="shared" ref="J62:J63" si="43">+(J32/I32-1)*100</f>
        <v>#N/A</v>
      </c>
      <c r="K62" s="298">
        <f t="shared" ref="K62:K63" si="44">+(K32/J32-1)*100</f>
        <v>1.3564284706985008</v>
      </c>
      <c r="L62" s="298">
        <f t="shared" ref="L62:L63" si="45">+(L32/K32-1)*100</f>
        <v>1.4440279163484337</v>
      </c>
      <c r="M62" s="298">
        <f t="shared" ref="M62:M63" si="46">+(M32/L32-1)*100</f>
        <v>1.9086696799404335</v>
      </c>
      <c r="N62" s="298">
        <f t="shared" ref="N62:N63" si="47">+(N32/M32-1)*100</f>
        <v>2.0790903606370037</v>
      </c>
      <c r="O62" s="298">
        <f t="shared" ref="O62:O63" si="48">+(O32/N32-1)*100</f>
        <v>2.1941328667945292</v>
      </c>
      <c r="P62" s="298">
        <f t="shared" ref="P62:P63" si="49">+(P32/O32-1)*100</f>
        <v>2.2658911925322212</v>
      </c>
      <c r="Q62" s="298">
        <f t="shared" ref="Q62:Q63" si="50">+(Q32/P32-1)*100</f>
        <v>2.2345229916866494</v>
      </c>
      <c r="R62" s="298">
        <f t="shared" ref="R62:R63" si="51">+(R32/Q32-1)*100</f>
        <v>2.1754845091786379</v>
      </c>
      <c r="S62" s="298">
        <f t="shared" ref="S62:S63" si="52">+(S32/R32-1)*100</f>
        <v>2.2262814089888838</v>
      </c>
      <c r="T62" s="298">
        <f t="shared" ref="T62:T63" si="53">+(T32/S32-1)*100</f>
        <v>2.24675088249493</v>
      </c>
      <c r="U62" s="298">
        <f t="shared" ref="U62:U63" si="54">+(U32/T32-1)*100</f>
        <v>2.1074341612978387</v>
      </c>
      <c r="V62" s="298">
        <f t="shared" ref="V62:V63" si="55">+(V32/U32-1)*100</f>
        <v>1.9838347430398251</v>
      </c>
      <c r="W62" s="298">
        <f t="shared" ref="W62:W63" si="56">+(W32/V32-1)*100</f>
        <v>1.9531423969131101</v>
      </c>
      <c r="X62" s="298">
        <f t="shared" ref="X62:X63" si="57">+(X32/W32-1)*100</f>
        <v>1.8890750644648513</v>
      </c>
      <c r="Y62" s="298">
        <f>+(Y32/X32-1)*100</f>
        <v>1.7455891273866486</v>
      </c>
      <c r="Z62" s="141">
        <f>+(Z32/Y32-1)*100</f>
        <v>1.6341185246573797</v>
      </c>
      <c r="AA62" s="141">
        <f t="shared" ref="AA62:AA63" si="58">+(AA32/Z32-1)*100</f>
        <v>1.5377636631647817</v>
      </c>
      <c r="AB62" s="141">
        <f t="shared" ref="AB62:AB63" si="59">+(AB32/AA32-1)*100</f>
        <v>1.4405158728671985</v>
      </c>
      <c r="AC62" s="141">
        <f t="shared" ref="AC62:AC63" si="60">+(AC32/AB32-1)*100</f>
        <v>1.3502019927471354</v>
      </c>
    </row>
    <row r="63" spans="1:29" ht="15" x14ac:dyDescent="0.25">
      <c r="A63" s="89"/>
      <c r="B63" s="293"/>
      <c r="C63" s="115"/>
      <c r="D63" s="115"/>
      <c r="E63" s="115"/>
      <c r="F63" s="115"/>
      <c r="G63" s="93"/>
      <c r="H63" s="418" t="s">
        <v>621</v>
      </c>
      <c r="I63" s="298"/>
      <c r="J63" s="298">
        <f t="shared" si="43"/>
        <v>1.5704931670986078</v>
      </c>
      <c r="K63" s="298">
        <f t="shared" si="44"/>
        <v>1.4876309745931238</v>
      </c>
      <c r="L63" s="298">
        <f t="shared" si="45"/>
        <v>1.4705829167665607</v>
      </c>
      <c r="M63" s="298">
        <f t="shared" si="46"/>
        <v>1.4923771118873441</v>
      </c>
      <c r="N63" s="298">
        <f t="shared" si="47"/>
        <v>1.6291156495969572</v>
      </c>
      <c r="O63" s="298">
        <f t="shared" si="48"/>
        <v>1.8076786509046538</v>
      </c>
      <c r="P63" s="298">
        <f t="shared" si="49"/>
        <v>1.851370522410134</v>
      </c>
      <c r="Q63" s="298">
        <f t="shared" si="50"/>
        <v>1.837317252429127</v>
      </c>
      <c r="R63" s="298">
        <f t="shared" si="51"/>
        <v>1.8210327056510378</v>
      </c>
      <c r="S63" s="298">
        <f t="shared" si="52"/>
        <v>1.7999964315596584</v>
      </c>
      <c r="T63" s="298">
        <f t="shared" si="53"/>
        <v>1.5659055278195444</v>
      </c>
      <c r="U63" s="298">
        <f t="shared" si="54"/>
        <v>1.3027242865197408</v>
      </c>
      <c r="V63" s="298">
        <f t="shared" si="55"/>
        <v>1.2352508558171715</v>
      </c>
      <c r="W63" s="298">
        <f t="shared" si="56"/>
        <v>1.1511103031068393</v>
      </c>
      <c r="X63" s="298">
        <f t="shared" si="57"/>
        <v>1.0804727456038776</v>
      </c>
      <c r="Y63" s="298">
        <f t="shared" ref="Y63" si="61">+(Y33/X33-1)*100</f>
        <v>1.4631135898109271</v>
      </c>
      <c r="Z63" s="141">
        <f t="shared" ref="Z63" si="62">+(Z33/Y33-1)*100</f>
        <v>1.8107583327386489</v>
      </c>
      <c r="AA63" s="141">
        <f t="shared" si="58"/>
        <v>1.7475742879986322</v>
      </c>
      <c r="AB63" s="141">
        <f t="shared" si="59"/>
        <v>1.7064856670245154</v>
      </c>
      <c r="AC63" s="141">
        <f t="shared" si="60"/>
        <v>1.6578697740235571</v>
      </c>
    </row>
    <row r="64" spans="1:29" ht="15" x14ac:dyDescent="0.25">
      <c r="A64" s="89"/>
      <c r="B64" s="293"/>
      <c r="C64" s="115"/>
      <c r="D64" s="115"/>
      <c r="E64" s="115"/>
      <c r="F64" s="115"/>
      <c r="G64" s="93"/>
      <c r="H64" s="409"/>
      <c r="I64" s="304"/>
      <c r="J64" s="410"/>
      <c r="K64" s="410"/>
      <c r="L64" s="410"/>
      <c r="M64" s="410"/>
      <c r="N64" s="410"/>
      <c r="O64" s="410"/>
      <c r="P64" s="410"/>
      <c r="Q64" s="410"/>
      <c r="R64" s="410"/>
      <c r="S64" s="410"/>
      <c r="T64" s="410"/>
      <c r="U64" s="410"/>
      <c r="V64" s="410"/>
      <c r="W64" s="410"/>
      <c r="X64" s="410"/>
      <c r="Y64" s="410"/>
      <c r="Z64" s="411"/>
      <c r="AA64" s="411"/>
      <c r="AB64" s="411"/>
      <c r="AC64" s="411"/>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29" t="s">
        <v>469</v>
      </c>
      <c r="I66" s="529"/>
      <c r="J66" s="529"/>
      <c r="K66" s="529"/>
      <c r="L66" s="529"/>
      <c r="M66" s="529"/>
      <c r="N66" s="529"/>
      <c r="O66" s="529"/>
      <c r="P66" s="529"/>
      <c r="Q66" s="529"/>
      <c r="R66" s="529"/>
      <c r="S66" s="529"/>
      <c r="T66" s="529"/>
      <c r="U66" s="529"/>
      <c r="V66" s="529"/>
      <c r="W66" s="529"/>
      <c r="X66" s="529"/>
      <c r="Y66" s="529"/>
      <c r="Z66" s="529"/>
      <c r="AA66" s="529"/>
      <c r="AB66" s="529"/>
      <c r="AC66" s="529"/>
      <c r="AD66" s="103"/>
      <c r="AE66" s="103"/>
      <c r="AF66" s="103"/>
      <c r="AG66" s="103"/>
      <c r="AH66" s="103"/>
      <c r="AI66" s="100"/>
      <c r="AK66" s="31"/>
    </row>
    <row r="67" spans="1:37" ht="14.25" x14ac:dyDescent="0.2">
      <c r="A67" s="37"/>
      <c r="B67" s="115"/>
      <c r="C67" s="115"/>
      <c r="D67" s="115"/>
      <c r="E67" s="115"/>
      <c r="F67" s="115"/>
      <c r="G67" s="93"/>
      <c r="H67" s="300" t="s">
        <v>126</v>
      </c>
      <c r="I67" s="301"/>
      <c r="J67" s="301" t="str">
        <f>'[1]input-mpo'!$E$2</f>
        <v>Population, 0-14 (WDI)</v>
      </c>
      <c r="K67" s="302"/>
      <c r="L67" s="302"/>
      <c r="M67" s="302"/>
      <c r="N67" s="302"/>
      <c r="O67" s="302"/>
      <c r="P67" s="302"/>
      <c r="Q67" s="302"/>
      <c r="R67" s="302"/>
      <c r="S67" s="302"/>
      <c r="T67" s="302"/>
      <c r="U67" s="300"/>
      <c r="V67" s="300" t="str">
        <f>'[1]input-mpo'!$E$2</f>
        <v>Population, 0-14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C2:F2"/>
    <mergeCell ref="C5:E9"/>
    <mergeCell ref="F5:F9"/>
    <mergeCell ref="C34:F35"/>
    <mergeCell ref="C36:F36"/>
    <mergeCell ref="H66:AC66"/>
    <mergeCell ref="H2:AC2"/>
    <mergeCell ref="H36:AC36"/>
    <mergeCell ref="H4:AC4"/>
    <mergeCell ref="U6:Y6"/>
    <mergeCell ref="U38:Y38"/>
    <mergeCell ref="AA6:AC6"/>
    <mergeCell ref="AA38:AC38"/>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opLeftCell="E37" zoomScale="110" zoomScaleNormal="110" workbookViewId="0">
      <selection activeCell="Z52" sqref="Z52"/>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19" width="12.7109375" style="67" hidden="1" customWidth="1"/>
    <col min="20" max="20" width="12.7109375" style="67" customWidth="1"/>
    <col min="21" max="25" width="12.7109375" style="67" hidden="1" customWidth="1"/>
    <col min="26"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46" t="s">
        <v>127</v>
      </c>
      <c r="D2" s="546"/>
      <c r="E2" s="546"/>
      <c r="G2" s="546" t="s">
        <v>127</v>
      </c>
      <c r="H2" s="546"/>
      <c r="I2" s="546"/>
      <c r="J2" s="546"/>
      <c r="K2" s="546"/>
      <c r="L2" s="546"/>
      <c r="M2" s="546"/>
      <c r="N2" s="546"/>
      <c r="O2" s="546"/>
      <c r="P2" s="546"/>
      <c r="Q2" s="546"/>
      <c r="R2" s="546"/>
      <c r="S2" s="546"/>
      <c r="T2" s="546"/>
      <c r="U2" s="546"/>
      <c r="V2" s="546"/>
      <c r="W2" s="546"/>
      <c r="X2" s="546"/>
      <c r="Y2" s="546"/>
      <c r="Z2" s="546"/>
      <c r="AA2" s="546"/>
      <c r="AB2" s="546"/>
      <c r="AC2" s="546"/>
      <c r="AD2" s="546"/>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499" t="s">
        <v>615</v>
      </c>
      <c r="D4" s="500"/>
      <c r="E4" s="501">
        <v>3</v>
      </c>
      <c r="G4" s="543" t="s">
        <v>128</v>
      </c>
      <c r="H4" s="543"/>
      <c r="I4" s="543"/>
      <c r="J4" s="543"/>
      <c r="K4" s="543"/>
      <c r="L4" s="543"/>
      <c r="M4" s="543"/>
      <c r="N4" s="543"/>
      <c r="O4" s="543"/>
      <c r="P4" s="543"/>
      <c r="Q4" s="543"/>
      <c r="R4" s="543"/>
      <c r="S4" s="543"/>
      <c r="T4" s="543"/>
      <c r="U4" s="543"/>
      <c r="V4" s="543"/>
      <c r="W4" s="543"/>
      <c r="X4" s="543"/>
      <c r="Y4" s="543"/>
      <c r="Z4" s="543"/>
      <c r="AA4" s="543"/>
      <c r="AB4" s="543"/>
      <c r="AC4" s="543"/>
      <c r="AD4" s="543"/>
    </row>
    <row r="5" spans="1:35" ht="15" customHeight="1" x14ac:dyDescent="0.2">
      <c r="B5" s="123"/>
      <c r="C5" s="547" t="s">
        <v>129</v>
      </c>
      <c r="D5" s="547"/>
      <c r="E5" s="547"/>
      <c r="F5" s="125"/>
      <c r="G5" s="155"/>
      <c r="H5" s="155"/>
      <c r="I5" s="155"/>
      <c r="J5" s="155"/>
      <c r="K5" s="155"/>
      <c r="L5" s="155"/>
      <c r="M5" s="155"/>
      <c r="N5" s="155"/>
      <c r="O5" s="155"/>
      <c r="P5" s="155"/>
      <c r="Q5" s="155"/>
      <c r="R5" s="155"/>
      <c r="S5" s="155"/>
      <c r="T5" s="545"/>
      <c r="U5" s="545"/>
      <c r="V5" s="545"/>
      <c r="W5" s="545"/>
      <c r="X5" s="545"/>
      <c r="Y5" s="545"/>
      <c r="Z5" s="545"/>
      <c r="AA5" s="155"/>
      <c r="AB5" s="155"/>
      <c r="AC5" s="155"/>
      <c r="AD5" s="155"/>
    </row>
    <row r="6" spans="1:35" ht="14.45" customHeight="1" x14ac:dyDescent="0.2">
      <c r="B6" s="123"/>
      <c r="C6" s="547"/>
      <c r="D6" s="547"/>
      <c r="E6" s="547"/>
      <c r="F6" s="125"/>
      <c r="G6" s="542" t="s">
        <v>130</v>
      </c>
      <c r="H6" s="542" t="s">
        <v>131</v>
      </c>
      <c r="I6" s="544" t="s">
        <v>121</v>
      </c>
      <c r="J6" s="544"/>
      <c r="K6" s="544"/>
      <c r="L6" s="544"/>
      <c r="M6" s="544"/>
      <c r="N6" s="544"/>
      <c r="O6" s="544"/>
      <c r="P6" s="544"/>
      <c r="Q6" s="544"/>
      <c r="R6" s="150" t="s">
        <v>132</v>
      </c>
      <c r="S6" s="150" t="s">
        <v>132</v>
      </c>
      <c r="T6" s="150" t="s">
        <v>132</v>
      </c>
      <c r="U6" s="150" t="s">
        <v>132</v>
      </c>
      <c r="V6" s="150" t="s">
        <v>132</v>
      </c>
      <c r="W6" s="150" t="s">
        <v>132</v>
      </c>
      <c r="X6" s="150" t="s">
        <v>132</v>
      </c>
      <c r="Y6" s="150" t="s">
        <v>132</v>
      </c>
      <c r="Z6" s="150" t="s">
        <v>133</v>
      </c>
      <c r="AA6" s="548" t="s">
        <v>7</v>
      </c>
      <c r="AB6" s="548"/>
      <c r="AC6" s="548"/>
      <c r="AD6" s="548"/>
    </row>
    <row r="7" spans="1:35" ht="15" customHeight="1" x14ac:dyDescent="0.2">
      <c r="B7" s="292"/>
      <c r="C7" s="547"/>
      <c r="D7" s="547"/>
      <c r="E7" s="547"/>
      <c r="F7" s="125"/>
      <c r="G7" s="542"/>
      <c r="H7" s="542"/>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510</v>
      </c>
      <c r="B8" s="292"/>
      <c r="C8" s="547"/>
      <c r="D8" s="547"/>
      <c r="E8" s="547"/>
      <c r="F8" s="125"/>
      <c r="G8" s="312" t="s">
        <v>509</v>
      </c>
      <c r="H8" s="313" t="s">
        <v>134</v>
      </c>
      <c r="I8" s="156" t="e" cm="1">
        <f t="array" ref="I8">_xlfn.XLOOKUP(1, ('0. GUIDELINES'!$E$3='[1]input-labor'!$A:$A) * (I$7='[1]input-labor'!$B:$B) * ($A8='[1]input-labor'!$C:$C) * ($E$4='[1]input-labor'!$G:$G), '[1]input-labor'!$D:$D)</f>
        <v>#N/A</v>
      </c>
      <c r="J8" s="156" t="e" cm="1">
        <f t="array" ref="J8">_xlfn.XLOOKUP(1, ('0. GUIDELINES'!$E$3='[1]input-labor'!$A:$A) * (J$7='[1]input-labor'!$B:$B) * ($A8='[1]input-labor'!$C:$C) * ($E$4='[1]input-labor'!$G:$G), '[1]input-labor'!$D:$D)</f>
        <v>#N/A</v>
      </c>
      <c r="K8" s="156" t="e" cm="1">
        <f t="array" ref="K8">_xlfn.XLOOKUP(1, ('0. GUIDELINES'!$E$3='[1]input-labor'!$A:$A) * (K$7='[1]input-labor'!$B:$B) * ($A8='[1]input-labor'!$C:$C) * ($E$4='[1]input-labor'!$G:$G), '[1]input-labor'!$D:$D)</f>
        <v>#N/A</v>
      </c>
      <c r="L8" s="156" t="e" cm="1">
        <f t="array" ref="L8">_xlfn.XLOOKUP(1, ('0. GUIDELINES'!$E$3='[1]input-labor'!$A:$A) * (L$7='[1]input-labor'!$B:$B) * ($A8='[1]input-labor'!$C:$C) * ($E$4='[1]input-labor'!$G:$G), '[1]input-labor'!$D:$D)</f>
        <v>#N/A</v>
      </c>
      <c r="M8" s="156" t="e" cm="1">
        <f t="array" ref="M8">_xlfn.XLOOKUP(1, ('0. GUIDELINES'!$E$3='[1]input-labor'!$A:$A) * (M$7='[1]input-labor'!$B:$B) * ($A8='[1]input-labor'!$C:$C) * ($E$4='[1]input-labor'!$G:$G), '[1]input-labor'!$D:$D)</f>
        <v>#N/A</v>
      </c>
      <c r="N8" s="156" t="e" cm="1">
        <f t="array" ref="N8">_xlfn.XLOOKUP(1, ('0. GUIDELINES'!$E$3='[1]input-labor'!$A:$A) * (N$7='[1]input-labor'!$B:$B) * ($A8='[1]input-labor'!$C:$C) * ($E$4='[1]input-labor'!$G:$G), '[1]input-labor'!$D:$D)</f>
        <v>#N/A</v>
      </c>
      <c r="O8" s="156" t="e" cm="1">
        <f t="array" ref="O8">_xlfn.XLOOKUP(1, ('0. GUIDELINES'!$E$3='[1]input-labor'!$A:$A) * (O$7='[1]input-labor'!$B:$B) * ($A8='[1]input-labor'!$C:$C) * ($E$4='[1]input-labor'!$G:$G), '[1]input-labor'!$D:$D)</f>
        <v>#N/A</v>
      </c>
      <c r="P8" s="156" t="e" cm="1">
        <f t="array" ref="P8">_xlfn.XLOOKUP(1, ('0. GUIDELINES'!$E$3='[1]input-labor'!$A:$A) * (P$7='[1]input-labor'!$B:$B) * ($A8='[1]input-labor'!$C:$C) * ($E$4='[1]input-labor'!$G:$G), '[1]input-labor'!$D:$D)</f>
        <v>#N/A</v>
      </c>
      <c r="Q8" s="156" t="e" cm="1">
        <f t="array" ref="Q8">_xlfn.XLOOKUP(1, ('0. GUIDELINES'!$E$3='[1]input-labor'!$A:$A) * (Q$7='[1]input-labor'!$B:$B) * ($A8='[1]input-labor'!$C:$C) * ($E$4='[1]input-labor'!$G:$G), '[1]input-labor'!$D:$D)</f>
        <v>#N/A</v>
      </c>
      <c r="R8" s="156" t="e" cm="1">
        <f t="array" ref="R8">_xlfn.XLOOKUP(1, ('0. GUIDELINES'!$E$3='[1]input-labor'!$A:$A) * (R$7='[1]input-labor'!$B:$B) * ($A8='[1]input-labor'!$C:$C) * ($E$4='[1]input-labor'!$G:$G), '[1]input-labor'!$D:$D)</f>
        <v>#N/A</v>
      </c>
      <c r="S8" s="156" t="e" cm="1">
        <f t="array" ref="S8">_xlfn.XLOOKUP(1, ('0. GUIDELINES'!$E$3='[1]input-labor'!$A:$A) * (S$7='[1]input-labor'!$B:$B) * ($A8='[1]input-labor'!$C:$C) * ($E$4='[1]input-labor'!$G:$G), '[1]input-labor'!$D:$D)</f>
        <v>#N/A</v>
      </c>
      <c r="T8" s="156" cm="1">
        <f t="array" ref="T8">_xlfn.XLOOKUP(1, ('0. GUIDELINES'!$E$3='[1]input-labor'!$A:$A) * (T$7='[1]input-labor'!$B:$B) * ($A8='[1]input-labor'!$C:$C) * ($E$4='[1]input-labor'!$G:$G), '[1]input-labor'!$D:$D)</f>
        <v>108098696</v>
      </c>
      <c r="U8" s="156" t="e" cm="1">
        <f t="array" ref="U8">_xlfn.XLOOKUP(1, ('0. GUIDELINES'!$E$3='[1]input-labor'!$A:$A) * (U$7='[1]input-labor'!$B:$B) * ($A8='[1]input-labor'!$C:$C) * ($E$4='[1]input-labor'!$G:$G), '[1]input-labor'!$D:$D)</f>
        <v>#N/A</v>
      </c>
      <c r="V8" s="156" t="e" cm="1">
        <f t="array" ref="V8">_xlfn.XLOOKUP(1, ('0. GUIDELINES'!$E$3='[1]input-labor'!$A:$A) * (V$7='[1]input-labor'!$B:$B) * ($A8='[1]input-labor'!$C:$C) * ($E$4='[1]input-labor'!$G:$G), '[1]input-labor'!$D:$D)</f>
        <v>#N/A</v>
      </c>
      <c r="W8" s="156" t="e" cm="1">
        <f t="array" ref="W8">_xlfn.XLOOKUP(1, ('0. GUIDELINES'!$E$3='[1]input-labor'!$A:$A) * (W$7='[1]input-labor'!$B:$B) * ($A8='[1]input-labor'!$C:$C) * ($E$4='[1]input-labor'!$G:$G), '[1]input-labor'!$D:$D)</f>
        <v>#N/A</v>
      </c>
      <c r="X8" s="156" t="e" cm="1">
        <f t="array" ref="X8">_xlfn.XLOOKUP(1, ('0. GUIDELINES'!$E$3='[1]input-labor'!$A:$A) * (X$7='[1]input-labor'!$B:$B) * ($A8='[1]input-labor'!$C:$C) * ($E$4='[1]input-labor'!$G:$G), '[1]input-labor'!$D:$D)</f>
        <v>#N/A</v>
      </c>
      <c r="Y8" s="156" t="e" cm="1">
        <f t="array" ref="Y8">_xlfn.XLOOKUP(1, ('0. GUIDELINES'!$E$3='[1]input-labor'!$A:$A) * (Y$7='[1]input-labor'!$B:$B) * ($A8='[1]input-labor'!$C:$C) * ($E$4='[1]input-labor'!$G:$G), '[1]input-labor'!$D:$D)</f>
        <v>#N/A</v>
      </c>
      <c r="Z8" s="156" cm="1">
        <f t="array" ref="Z8">_xlfn.XLOOKUP(1, ('0. GUIDELINES'!$E$3='[1]input-labor'!$A:$A) * (Z$7='[1]input-labor'!$B:$B) * ($A8='[1]input-labor'!$C:$C) * ($E$4='[1]input-labor'!$G:$G), '[1]input-labor'!$D:$D)</f>
        <v>119100760</v>
      </c>
      <c r="AA8" s="144">
        <f>Z8*(1+'1. GDP'!Z62/100)</f>
        <v>121047007.58216773</v>
      </c>
      <c r="AB8" s="144">
        <f>AA8*(1+'1. GDP'!AA62/100)</f>
        <v>122908424.48011462</v>
      </c>
      <c r="AC8" s="144">
        <f>AB8*(1+'1. GDP'!AB62/100)</f>
        <v>124678939.84384167</v>
      </c>
      <c r="AD8" s="144">
        <f>AC8*(1+'1. GDP'!AC62/100)</f>
        <v>126362357.37414922</v>
      </c>
    </row>
    <row r="9" spans="1:35" ht="14.45" customHeight="1" x14ac:dyDescent="0.2">
      <c r="A9" s="88"/>
      <c r="B9" s="292"/>
      <c r="C9" s="539" t="s">
        <v>135</v>
      </c>
      <c r="D9" s="539"/>
      <c r="E9" s="540"/>
      <c r="F9" s="125"/>
      <c r="G9" s="314" t="s">
        <v>17</v>
      </c>
      <c r="H9" s="313" t="s">
        <v>136</v>
      </c>
      <c r="I9" s="156" t="e">
        <f t="shared" ref="I9:Y9" si="0">+I11+I12</f>
        <v>#N/A</v>
      </c>
      <c r="J9" s="156" t="e">
        <f t="shared" si="0"/>
        <v>#N/A</v>
      </c>
      <c r="K9" s="156" t="e">
        <f t="shared" si="0"/>
        <v>#N/A</v>
      </c>
      <c r="L9" s="156" t="e">
        <f t="shared" si="0"/>
        <v>#N/A</v>
      </c>
      <c r="M9" s="156" t="e">
        <f t="shared" si="0"/>
        <v>#N/A</v>
      </c>
      <c r="N9" s="156" t="e">
        <f t="shared" si="0"/>
        <v>#N/A</v>
      </c>
      <c r="O9" s="156" t="e">
        <f t="shared" si="0"/>
        <v>#N/A</v>
      </c>
      <c r="P9" s="156" t="e">
        <f t="shared" si="0"/>
        <v>#N/A</v>
      </c>
      <c r="Q9" s="156" t="e">
        <f t="shared" si="0"/>
        <v>#N/A</v>
      </c>
      <c r="R9" s="156" t="e">
        <f t="shared" si="0"/>
        <v>#N/A</v>
      </c>
      <c r="S9" s="156" t="e">
        <f t="shared" si="0"/>
        <v>#N/A</v>
      </c>
      <c r="T9" s="156">
        <f t="shared" si="0"/>
        <v>51530250</v>
      </c>
      <c r="U9" s="156" t="e">
        <f t="shared" si="0"/>
        <v>#N/A</v>
      </c>
      <c r="V9" s="156" t="e">
        <f t="shared" si="0"/>
        <v>#N/A</v>
      </c>
      <c r="W9" s="156" t="e">
        <f t="shared" si="0"/>
        <v>#N/A</v>
      </c>
      <c r="X9" s="156" t="e">
        <f t="shared" si="0"/>
        <v>#N/A</v>
      </c>
      <c r="Y9" s="156" t="e">
        <f t="shared" si="0"/>
        <v>#N/A</v>
      </c>
      <c r="Z9" s="156">
        <f>+Z11+Z12</f>
        <v>60583258</v>
      </c>
      <c r="AA9" s="144">
        <f>Z9*(1+'GROWTH RATES'!X8/100)</f>
        <v>60478295.52307301</v>
      </c>
      <c r="AB9" s="144">
        <f>AA9*(1+'GROWTH RATES'!Y8/100)</f>
        <v>61701409.918131039</v>
      </c>
      <c r="AC9" s="144">
        <f>AB9*(1+'GROWTH RATES'!Z8/100)</f>
        <v>62683057.618272714</v>
      </c>
      <c r="AD9" s="144">
        <f>AC9*(1+'GROWTH RATES'!AA8/100)</f>
        <v>63425464.509509541</v>
      </c>
    </row>
    <row r="10" spans="1:35" ht="15.6" customHeight="1" x14ac:dyDescent="0.2">
      <c r="A10" s="87" t="s">
        <v>511</v>
      </c>
      <c r="B10" s="292"/>
      <c r="C10" s="539"/>
      <c r="D10" s="539"/>
      <c r="E10" s="540"/>
      <c r="F10" s="125"/>
      <c r="G10" s="314" t="s">
        <v>19</v>
      </c>
      <c r="H10" s="313" t="s">
        <v>137</v>
      </c>
      <c r="I10" s="156" t="e" cm="1">
        <f t="array" ref="I10">_xlfn.XLOOKUP(1, ('0. GUIDELINES'!$E$3='[1]input-labor'!$A:$A) * (I$7='[1]input-labor'!$B:$B) * ($A10='[1]input-labor'!$C:$C) * ($E$4='[1]input-labor'!$G:$G), '[1]input-labor'!$D:$D)</f>
        <v>#N/A</v>
      </c>
      <c r="J10" s="156" t="e" cm="1">
        <f t="array" ref="J10">_xlfn.XLOOKUP(1, ('0. GUIDELINES'!$E$3='[1]input-labor'!$A:$A) * (J$7='[1]input-labor'!$B:$B) * ($A10='[1]input-labor'!$C:$C) * ($E$4='[1]input-labor'!$G:$G), '[1]input-labor'!$D:$D)</f>
        <v>#N/A</v>
      </c>
      <c r="K10" s="156" t="e" cm="1">
        <f t="array" ref="K10">_xlfn.XLOOKUP(1, ('0. GUIDELINES'!$E$3='[1]input-labor'!$A:$A) * (K$7='[1]input-labor'!$B:$B) * ($A10='[1]input-labor'!$C:$C) * ($E$4='[1]input-labor'!$G:$G), '[1]input-labor'!$D:$D)</f>
        <v>#N/A</v>
      </c>
      <c r="L10" s="156" t="e" cm="1">
        <f t="array" ref="L10">_xlfn.XLOOKUP(1, ('0. GUIDELINES'!$E$3='[1]input-labor'!$A:$A) * (L$7='[1]input-labor'!$B:$B) * ($A10='[1]input-labor'!$C:$C) * ($E$4='[1]input-labor'!$G:$G), '[1]input-labor'!$D:$D)</f>
        <v>#N/A</v>
      </c>
      <c r="M10" s="156" t="e" cm="1">
        <f t="array" ref="M10">_xlfn.XLOOKUP(1, ('0. GUIDELINES'!$E$3='[1]input-labor'!$A:$A) * (M$7='[1]input-labor'!$B:$B) * ($A10='[1]input-labor'!$C:$C) * ($E$4='[1]input-labor'!$G:$G), '[1]input-labor'!$D:$D)</f>
        <v>#N/A</v>
      </c>
      <c r="N10" s="156" t="e" cm="1">
        <f t="array" ref="N10">_xlfn.XLOOKUP(1, ('0. GUIDELINES'!$E$3='[1]input-labor'!$A:$A) * (N$7='[1]input-labor'!$B:$B) * ($A10='[1]input-labor'!$C:$C) * ($E$4='[1]input-labor'!$G:$G), '[1]input-labor'!$D:$D)</f>
        <v>#N/A</v>
      </c>
      <c r="O10" s="156" t="e" cm="1">
        <f t="array" ref="O10">_xlfn.XLOOKUP(1, ('0. GUIDELINES'!$E$3='[1]input-labor'!$A:$A) * (O$7='[1]input-labor'!$B:$B) * ($A10='[1]input-labor'!$C:$C) * ($E$4='[1]input-labor'!$G:$G), '[1]input-labor'!$D:$D)</f>
        <v>#N/A</v>
      </c>
      <c r="P10" s="156" t="e" cm="1">
        <f t="array" ref="P10">_xlfn.XLOOKUP(1, ('0. GUIDELINES'!$E$3='[1]input-labor'!$A:$A) * (P$7='[1]input-labor'!$B:$B) * ($A10='[1]input-labor'!$C:$C) * ($E$4='[1]input-labor'!$G:$G), '[1]input-labor'!$D:$D)</f>
        <v>#N/A</v>
      </c>
      <c r="Q10" s="156" t="e" cm="1">
        <f t="array" ref="Q10">_xlfn.XLOOKUP(1, ('0. GUIDELINES'!$E$3='[1]input-labor'!$A:$A) * (Q$7='[1]input-labor'!$B:$B) * ($A10='[1]input-labor'!$C:$C) * ($E$4='[1]input-labor'!$G:$G), '[1]input-labor'!$D:$D)</f>
        <v>#N/A</v>
      </c>
      <c r="R10" s="156" t="e" cm="1">
        <f t="array" ref="R10">_xlfn.XLOOKUP(1, ('0. GUIDELINES'!$E$3='[1]input-labor'!$A:$A) * (R$7='[1]input-labor'!$B:$B) * ($A10='[1]input-labor'!$C:$C) * ($E$4='[1]input-labor'!$G:$G), '[1]input-labor'!$D:$D)</f>
        <v>#N/A</v>
      </c>
      <c r="S10" s="156" t="e" cm="1">
        <f t="array" ref="S10">_xlfn.XLOOKUP(1, ('0. GUIDELINES'!$E$3='[1]input-labor'!$A:$A) * (S$7='[1]input-labor'!$B:$B) * ($A10='[1]input-labor'!$C:$C) * ($E$4='[1]input-labor'!$G:$G), '[1]input-labor'!$D:$D)</f>
        <v>#N/A</v>
      </c>
      <c r="T10" s="156" cm="1">
        <f t="array" ref="T10">_xlfn.XLOOKUP(1, ('0. GUIDELINES'!$E$3='[1]input-labor'!$A:$A) * (T$7='[1]input-labor'!$B:$B) * ($A10='[1]input-labor'!$C:$C) * ($E$4='[1]input-labor'!$G:$G), '[1]input-labor'!$D:$D)</f>
        <v>56123900</v>
      </c>
      <c r="U10" s="156" t="e" cm="1">
        <f t="array" ref="U10">_xlfn.XLOOKUP(1, ('0. GUIDELINES'!$E$3='[1]input-labor'!$A:$A) * (U$7='[1]input-labor'!$B:$B) * ($A10='[1]input-labor'!$C:$C) * ($E$4='[1]input-labor'!$G:$G), '[1]input-labor'!$D:$D)</f>
        <v>#N/A</v>
      </c>
      <c r="V10" s="156" t="e" cm="1">
        <f t="array" ref="V10">_xlfn.XLOOKUP(1, ('0. GUIDELINES'!$E$3='[1]input-labor'!$A:$A) * (V$7='[1]input-labor'!$B:$B) * ($A10='[1]input-labor'!$C:$C) * ($E$4='[1]input-labor'!$G:$G), '[1]input-labor'!$D:$D)</f>
        <v>#N/A</v>
      </c>
      <c r="W10" s="156" t="e" cm="1">
        <f t="array" ref="W10">_xlfn.XLOOKUP(1, ('0. GUIDELINES'!$E$3='[1]input-labor'!$A:$A) * (W$7='[1]input-labor'!$B:$B) * ($A10='[1]input-labor'!$C:$C) * ($E$4='[1]input-labor'!$G:$G), '[1]input-labor'!$D:$D)</f>
        <v>#N/A</v>
      </c>
      <c r="X10" s="156" t="e" cm="1">
        <f t="array" ref="X10">_xlfn.XLOOKUP(1, ('0. GUIDELINES'!$E$3='[1]input-labor'!$A:$A) * (X$7='[1]input-labor'!$B:$B) * ($A10='[1]input-labor'!$C:$C) * ($E$4='[1]input-labor'!$G:$G), '[1]input-labor'!$D:$D)</f>
        <v>#N/A</v>
      </c>
      <c r="Y10" s="156" t="e" cm="1">
        <f t="array" ref="Y10">_xlfn.XLOOKUP(1, ('0. GUIDELINES'!$E$3='[1]input-labor'!$A:$A) * (Y$7='[1]input-labor'!$B:$B) * ($A10='[1]input-labor'!$C:$C) * ($E$4='[1]input-labor'!$G:$G), '[1]input-labor'!$D:$D)</f>
        <v>#N/A</v>
      </c>
      <c r="Z10" s="156" cm="1">
        <f t="array" ref="Z10">_xlfn.XLOOKUP(1, ('0. GUIDELINES'!$E$3='[1]input-labor'!$A:$A) * (Z$7='[1]input-labor'!$B:$B) * ($A10='[1]input-labor'!$C:$C) * ($E$4='[1]input-labor'!$G:$G), '[1]input-labor'!$D:$D)</f>
        <v>58517504</v>
      </c>
      <c r="AA10" s="144">
        <f>AA8-AA9</f>
        <v>60568712.05909472</v>
      </c>
      <c r="AB10" s="144">
        <f t="shared" ref="AB10:AD10" si="1">AB8-AB9</f>
        <v>61207014.561983585</v>
      </c>
      <c r="AC10" s="144">
        <f t="shared" si="1"/>
        <v>61995882.225568958</v>
      </c>
      <c r="AD10" s="144">
        <f t="shared" si="1"/>
        <v>62936892.864639677</v>
      </c>
    </row>
    <row r="11" spans="1:35" ht="14.45" customHeight="1" x14ac:dyDescent="0.2">
      <c r="A11" s="88" t="s">
        <v>512</v>
      </c>
      <c r="B11" s="292"/>
      <c r="C11" s="541" t="s">
        <v>138</v>
      </c>
      <c r="D11" s="541"/>
      <c r="E11" s="128"/>
      <c r="F11" s="125"/>
      <c r="G11" s="314" t="s">
        <v>139</v>
      </c>
      <c r="H11" s="313" t="s">
        <v>404</v>
      </c>
      <c r="I11" s="156" t="e">
        <f t="shared" ref="I11:Y11" si="2">I14+I15+I18</f>
        <v>#N/A</v>
      </c>
      <c r="J11" s="156" t="e">
        <f t="shared" si="2"/>
        <v>#N/A</v>
      </c>
      <c r="K11" s="156" t="e">
        <f t="shared" si="2"/>
        <v>#N/A</v>
      </c>
      <c r="L11" s="156" t="e">
        <f t="shared" si="2"/>
        <v>#N/A</v>
      </c>
      <c r="M11" s="156" t="e">
        <f t="shared" si="2"/>
        <v>#N/A</v>
      </c>
      <c r="N11" s="156" t="e">
        <f t="shared" si="2"/>
        <v>#N/A</v>
      </c>
      <c r="O11" s="156" t="e">
        <f t="shared" si="2"/>
        <v>#N/A</v>
      </c>
      <c r="P11" s="156" t="e">
        <f t="shared" si="2"/>
        <v>#N/A</v>
      </c>
      <c r="Q11" s="156" t="e">
        <f t="shared" si="2"/>
        <v>#N/A</v>
      </c>
      <c r="R11" s="156" t="e">
        <f t="shared" si="2"/>
        <v>#N/A</v>
      </c>
      <c r="S11" s="156" t="e">
        <f t="shared" si="2"/>
        <v>#N/A</v>
      </c>
      <c r="T11" s="156">
        <f t="shared" si="2"/>
        <v>49928276.75</v>
      </c>
      <c r="U11" s="156" t="e">
        <f t="shared" si="2"/>
        <v>#N/A</v>
      </c>
      <c r="V11" s="156" t="e">
        <f t="shared" si="2"/>
        <v>#N/A</v>
      </c>
      <c r="W11" s="156" t="e">
        <f t="shared" si="2"/>
        <v>#N/A</v>
      </c>
      <c r="X11" s="156" t="e">
        <f t="shared" si="2"/>
        <v>#N/A</v>
      </c>
      <c r="Y11" s="156" t="e">
        <f t="shared" si="2"/>
        <v>#N/A</v>
      </c>
      <c r="Z11" s="156">
        <f>Z14+Z15+Z18</f>
        <v>58139384</v>
      </c>
      <c r="AA11" s="144">
        <f>AA14+AA15+AA18</f>
        <v>58308907.622253053</v>
      </c>
      <c r="AB11" s="144">
        <f>AB14+AB15+AB18</f>
        <v>59333059.789824486</v>
      </c>
      <c r="AC11" s="144">
        <f t="shared" ref="AC11:AD11" si="3">AC14+AC15+AC18</f>
        <v>60422359.795485228</v>
      </c>
      <c r="AD11" s="144">
        <f t="shared" si="3"/>
        <v>61175781.404388487</v>
      </c>
    </row>
    <row r="12" spans="1:35" ht="24" x14ac:dyDescent="0.2">
      <c r="A12" s="88" t="s">
        <v>513</v>
      </c>
      <c r="B12" s="125"/>
      <c r="C12" s="541"/>
      <c r="D12" s="541"/>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AA9-AA11</f>
        <v>2169387.9008199573</v>
      </c>
      <c r="AB12" s="144">
        <f t="shared" ref="AB12:AC12" si="4">AB9-AB11</f>
        <v>2368350.1283065528</v>
      </c>
      <c r="AC12" s="144">
        <f t="shared" si="4"/>
        <v>2260697.822787486</v>
      </c>
      <c r="AD12" s="144">
        <f>AD9-AD11</f>
        <v>2249683.1051210538</v>
      </c>
    </row>
    <row r="13" spans="1:35" ht="14.25" customHeight="1" x14ac:dyDescent="0.2">
      <c r="A13" s="67"/>
      <c r="B13" s="125"/>
      <c r="C13" s="541" t="s">
        <v>142</v>
      </c>
      <c r="D13" s="541"/>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41"/>
      <c r="D14" s="541"/>
      <c r="E14" s="129" t="s">
        <v>144</v>
      </c>
      <c r="F14" s="123"/>
      <c r="G14" s="319" t="s">
        <v>29</v>
      </c>
      <c r="H14" s="313" t="s">
        <v>405</v>
      </c>
      <c r="I14" s="156" t="e">
        <f t="shared" ref="I14:Y14" si="5">+I23+I24</f>
        <v>#N/A</v>
      </c>
      <c r="J14" s="156" t="e">
        <f t="shared" si="5"/>
        <v>#N/A</v>
      </c>
      <c r="K14" s="156" t="e">
        <f t="shared" si="5"/>
        <v>#N/A</v>
      </c>
      <c r="L14" s="156" t="e">
        <f t="shared" si="5"/>
        <v>#N/A</v>
      </c>
      <c r="M14" s="156" t="e">
        <f t="shared" si="5"/>
        <v>#N/A</v>
      </c>
      <c r="N14" s="156" t="e">
        <f t="shared" si="5"/>
        <v>#N/A</v>
      </c>
      <c r="O14" s="156" t="e">
        <f t="shared" si="5"/>
        <v>#N/A</v>
      </c>
      <c r="P14" s="156" t="e">
        <f t="shared" si="5"/>
        <v>#N/A</v>
      </c>
      <c r="Q14" s="156" t="e">
        <f t="shared" si="5"/>
        <v>#N/A</v>
      </c>
      <c r="R14" s="156" t="e">
        <f t="shared" si="5"/>
        <v>#N/A</v>
      </c>
      <c r="S14" s="156" t="e">
        <f t="shared" si="5"/>
        <v>#N/A</v>
      </c>
      <c r="T14" s="156">
        <f t="shared" si="5"/>
        <v>16534055.5</v>
      </c>
      <c r="U14" s="156" t="e">
        <f t="shared" si="5"/>
        <v>#N/A</v>
      </c>
      <c r="V14" s="156" t="e">
        <f t="shared" si="5"/>
        <v>#N/A</v>
      </c>
      <c r="W14" s="156" t="e">
        <f t="shared" si="5"/>
        <v>#N/A</v>
      </c>
      <c r="X14" s="156" t="e">
        <f t="shared" si="5"/>
        <v>#N/A</v>
      </c>
      <c r="Y14" s="156" t="e">
        <f t="shared" si="5"/>
        <v>#N/A</v>
      </c>
      <c r="Z14" s="156">
        <f>+Z23+Z24</f>
        <v>18482195</v>
      </c>
      <c r="AA14" s="144">
        <f>+AA23+AA24</f>
        <v>18014858.021695998</v>
      </c>
      <c r="AB14" s="144">
        <f>+AB23+AB24</f>
        <v>18290882.67596731</v>
      </c>
      <c r="AC14" s="144">
        <f>+AC23+AC24</f>
        <v>18509844.926898882</v>
      </c>
      <c r="AD14" s="144">
        <f>+AD23+AD24</f>
        <v>18662120.042623196</v>
      </c>
      <c r="AE14" s="332"/>
    </row>
    <row r="15" spans="1:35" ht="15" customHeight="1" x14ac:dyDescent="0.2">
      <c r="B15" s="123"/>
      <c r="C15" s="124"/>
      <c r="D15" s="124"/>
      <c r="E15" s="84"/>
      <c r="F15" s="123"/>
      <c r="G15" s="319" t="s">
        <v>31</v>
      </c>
      <c r="H15" s="313" t="s">
        <v>498</v>
      </c>
      <c r="I15" s="156" t="e">
        <f t="shared" ref="I15:Y15" si="6">+I25+I26</f>
        <v>#N/A</v>
      </c>
      <c r="J15" s="156" t="e">
        <f t="shared" si="6"/>
        <v>#N/A</v>
      </c>
      <c r="K15" s="156" t="e">
        <f t="shared" si="6"/>
        <v>#N/A</v>
      </c>
      <c r="L15" s="156" t="e">
        <f t="shared" si="6"/>
        <v>#N/A</v>
      </c>
      <c r="M15" s="156" t="e">
        <f t="shared" si="6"/>
        <v>#N/A</v>
      </c>
      <c r="N15" s="156" t="e">
        <f t="shared" si="6"/>
        <v>#N/A</v>
      </c>
      <c r="O15" s="156" t="e">
        <f t="shared" si="6"/>
        <v>#N/A</v>
      </c>
      <c r="P15" s="156" t="e">
        <f t="shared" si="6"/>
        <v>#N/A</v>
      </c>
      <c r="Q15" s="156" t="e">
        <f t="shared" si="6"/>
        <v>#N/A</v>
      </c>
      <c r="R15" s="156" t="e">
        <f t="shared" si="6"/>
        <v>#N/A</v>
      </c>
      <c r="S15" s="156" t="e">
        <f t="shared" si="6"/>
        <v>#N/A</v>
      </c>
      <c r="T15" s="156">
        <f t="shared" si="6"/>
        <v>12656227.75</v>
      </c>
      <c r="U15" s="156" t="e">
        <f t="shared" si="6"/>
        <v>#N/A</v>
      </c>
      <c r="V15" s="156" t="e">
        <f t="shared" si="6"/>
        <v>#N/A</v>
      </c>
      <c r="W15" s="156" t="e">
        <f t="shared" si="6"/>
        <v>#N/A</v>
      </c>
      <c r="X15" s="156" t="e">
        <f t="shared" si="6"/>
        <v>#N/A</v>
      </c>
      <c r="Y15" s="156" t="e">
        <f t="shared" si="6"/>
        <v>#N/A</v>
      </c>
      <c r="Z15" s="156">
        <f>+Z25+Z26</f>
        <v>16192278</v>
      </c>
      <c r="AA15" s="144">
        <f>+AA25+AA26</f>
        <v>16382891.826820157</v>
      </c>
      <c r="AB15" s="144">
        <f>+AB25+AB26</f>
        <v>16517674.519190056</v>
      </c>
      <c r="AC15" s="144">
        <f>+AC25+AC26</f>
        <v>16956868.892729383</v>
      </c>
      <c r="AD15" s="144">
        <f>+AD25+AD26</f>
        <v>17344646.702202275</v>
      </c>
      <c r="AE15" s="332"/>
    </row>
    <row r="16" spans="1:35" ht="15" customHeight="1" x14ac:dyDescent="0.2">
      <c r="B16" s="123"/>
      <c r="C16" s="124"/>
      <c r="D16" s="124"/>
      <c r="E16" s="84"/>
      <c r="F16" s="123"/>
      <c r="G16" s="319"/>
      <c r="H16" s="313"/>
      <c r="I16" s="156"/>
      <c r="J16" s="156"/>
      <c r="K16" s="156"/>
      <c r="L16" s="156"/>
      <c r="M16" s="156"/>
      <c r="N16" s="156"/>
      <c r="O16" s="156"/>
      <c r="P16" s="156"/>
      <c r="Q16" s="156"/>
      <c r="R16" s="156"/>
      <c r="S16" s="156"/>
      <c r="T16" s="156"/>
      <c r="U16" s="156"/>
      <c r="V16" s="156"/>
      <c r="W16" s="156"/>
      <c r="X16" s="156"/>
      <c r="Y16" s="156"/>
      <c r="Z16" s="156"/>
      <c r="AA16" s="144"/>
      <c r="AB16" s="144"/>
      <c r="AC16" s="144"/>
      <c r="AD16" s="144"/>
      <c r="AE16" s="332"/>
    </row>
    <row r="17" spans="1:31" ht="15" customHeight="1" x14ac:dyDescent="0.2">
      <c r="B17" s="123"/>
      <c r="C17" s="124"/>
      <c r="D17" s="124"/>
      <c r="E17" s="84"/>
      <c r="F17" s="123"/>
      <c r="G17" s="319"/>
      <c r="H17" s="313"/>
      <c r="I17" s="156"/>
      <c r="J17" s="156"/>
      <c r="K17" s="156"/>
      <c r="L17" s="156"/>
      <c r="M17" s="156"/>
      <c r="N17" s="156"/>
      <c r="O17" s="156"/>
      <c r="P17" s="156"/>
      <c r="Q17" s="156"/>
      <c r="R17" s="156"/>
      <c r="S17" s="156"/>
      <c r="T17" s="156"/>
      <c r="U17" s="156"/>
      <c r="V17" s="156"/>
      <c r="W17" s="156"/>
      <c r="X17" s="156"/>
      <c r="Y17" s="156"/>
      <c r="Z17" s="156"/>
      <c r="AA17" s="144"/>
      <c r="AB17" s="144"/>
      <c r="AC17" s="144"/>
      <c r="AD17" s="144"/>
      <c r="AE17" s="332"/>
    </row>
    <row r="18" spans="1:31" ht="15" customHeight="1" x14ac:dyDescent="0.2">
      <c r="B18" s="123"/>
      <c r="C18" s="124"/>
      <c r="D18" s="124"/>
      <c r="E18" s="84"/>
      <c r="F18" s="123"/>
      <c r="G18" s="319" t="s">
        <v>33</v>
      </c>
      <c r="H18" s="313" t="s">
        <v>499</v>
      </c>
      <c r="I18" s="156" t="e">
        <f t="shared" ref="I18:Y18" si="7">+I27+I28</f>
        <v>#N/A</v>
      </c>
      <c r="J18" s="156" t="e">
        <f t="shared" si="7"/>
        <v>#N/A</v>
      </c>
      <c r="K18" s="156" t="e">
        <f t="shared" si="7"/>
        <v>#N/A</v>
      </c>
      <c r="L18" s="156" t="e">
        <f t="shared" si="7"/>
        <v>#N/A</v>
      </c>
      <c r="M18" s="156" t="e">
        <f t="shared" si="7"/>
        <v>#N/A</v>
      </c>
      <c r="N18" s="156" t="e">
        <f t="shared" si="7"/>
        <v>#N/A</v>
      </c>
      <c r="O18" s="156" t="e">
        <f t="shared" si="7"/>
        <v>#N/A</v>
      </c>
      <c r="P18" s="156" t="e">
        <f t="shared" si="7"/>
        <v>#N/A</v>
      </c>
      <c r="Q18" s="156" t="e">
        <f t="shared" si="7"/>
        <v>#N/A</v>
      </c>
      <c r="R18" s="156" t="e">
        <f t="shared" si="7"/>
        <v>#N/A</v>
      </c>
      <c r="S18" s="156" t="e">
        <f t="shared" si="7"/>
        <v>#N/A</v>
      </c>
      <c r="T18" s="156">
        <f t="shared" si="7"/>
        <v>20737993.5</v>
      </c>
      <c r="U18" s="156" t="e">
        <f t="shared" si="7"/>
        <v>#N/A</v>
      </c>
      <c r="V18" s="156" t="e">
        <f t="shared" si="7"/>
        <v>#N/A</v>
      </c>
      <c r="W18" s="156" t="e">
        <f t="shared" si="7"/>
        <v>#N/A</v>
      </c>
      <c r="X18" s="156" t="e">
        <f t="shared" si="7"/>
        <v>#N/A</v>
      </c>
      <c r="Y18" s="156" t="e">
        <f t="shared" si="7"/>
        <v>#N/A</v>
      </c>
      <c r="Z18" s="156">
        <f>+Z27+Z28</f>
        <v>23464911</v>
      </c>
      <c r="AA18" s="144">
        <f t="shared" ref="AA18:AD18" si="8">+AA27+AA28</f>
        <v>23911157.773736902</v>
      </c>
      <c r="AB18" s="144">
        <f t="shared" si="8"/>
        <v>24524502.594667122</v>
      </c>
      <c r="AC18" s="144">
        <f t="shared" si="8"/>
        <v>24955645.97585696</v>
      </c>
      <c r="AD18" s="144">
        <f t="shared" si="8"/>
        <v>25169014.65956302</v>
      </c>
      <c r="AE18" s="332"/>
    </row>
    <row r="19" spans="1:31" ht="14.1" customHeight="1" x14ac:dyDescent="0.2">
      <c r="B19" s="123"/>
      <c r="C19" s="124"/>
      <c r="D19" s="124"/>
      <c r="E19" s="84"/>
      <c r="F19" s="123"/>
      <c r="G19" s="319"/>
      <c r="H19" s="313"/>
      <c r="I19" s="156"/>
      <c r="J19" s="156"/>
      <c r="K19" s="156"/>
      <c r="L19" s="156"/>
      <c r="M19" s="156"/>
      <c r="N19" s="156"/>
      <c r="O19" s="156"/>
      <c r="P19" s="156"/>
      <c r="Q19" s="156"/>
      <c r="R19" s="156"/>
      <c r="S19" s="156"/>
      <c r="T19" s="156"/>
      <c r="U19" s="156"/>
      <c r="V19" s="156"/>
      <c r="W19" s="156"/>
      <c r="X19" s="156"/>
      <c r="Y19" s="156"/>
      <c r="Z19" s="156"/>
      <c r="AA19" s="144"/>
      <c r="AB19" s="144"/>
      <c r="AC19" s="144"/>
      <c r="AD19" s="144"/>
      <c r="AE19" s="332"/>
    </row>
    <row r="20" spans="1:31" x14ac:dyDescent="0.2">
      <c r="B20" s="292"/>
      <c r="C20" s="125"/>
      <c r="D20" s="125"/>
      <c r="E20" s="84"/>
      <c r="F20" s="123"/>
      <c r="G20" s="319"/>
      <c r="H20" s="313"/>
      <c r="I20" s="156"/>
      <c r="J20" s="156"/>
      <c r="K20" s="156"/>
      <c r="L20" s="156"/>
      <c r="M20" s="156"/>
      <c r="N20" s="156"/>
      <c r="O20" s="156"/>
      <c r="P20" s="156"/>
      <c r="Q20" s="156"/>
      <c r="R20" s="156"/>
      <c r="S20" s="156"/>
      <c r="T20" s="156"/>
      <c r="U20" s="156"/>
      <c r="V20" s="156"/>
      <c r="W20" s="156"/>
      <c r="X20" s="156"/>
      <c r="Y20" s="156"/>
      <c r="Z20" s="156"/>
      <c r="AA20" s="144"/>
      <c r="AB20" s="144"/>
      <c r="AC20" s="144"/>
      <c r="AD20" s="144"/>
      <c r="AE20" s="332"/>
    </row>
    <row r="21" spans="1:31" x14ac:dyDescent="0.2">
      <c r="B21" s="292"/>
      <c r="C21" s="125"/>
      <c r="D21" s="125"/>
      <c r="E21" s="84"/>
      <c r="F21" s="123"/>
      <c r="G21" s="319"/>
      <c r="H21" s="313"/>
      <c r="I21" s="156"/>
      <c r="J21" s="156"/>
      <c r="K21" s="156"/>
      <c r="L21" s="156"/>
      <c r="M21" s="156"/>
      <c r="N21" s="156"/>
      <c r="O21" s="156"/>
      <c r="P21" s="156"/>
      <c r="Q21" s="156"/>
      <c r="R21" s="156"/>
      <c r="S21" s="156"/>
      <c r="T21" s="156"/>
      <c r="U21" s="156"/>
      <c r="V21" s="156"/>
      <c r="W21" s="156"/>
      <c r="X21" s="156"/>
      <c r="Y21" s="156"/>
      <c r="Z21" s="156"/>
      <c r="AA21" s="144"/>
      <c r="AB21" s="144"/>
      <c r="AC21" s="144"/>
      <c r="AD21" s="144"/>
      <c r="AE21" s="332"/>
    </row>
    <row r="22" spans="1:31" ht="14.25" customHeight="1" x14ac:dyDescent="0.2">
      <c r="B22" s="292"/>
      <c r="C22" s="124"/>
      <c r="D22" s="124"/>
      <c r="E22" s="125"/>
      <c r="F22" s="123"/>
      <c r="G22" s="316" t="s">
        <v>394</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432</v>
      </c>
      <c r="B23" s="292"/>
      <c r="C23" s="124"/>
      <c r="D23" s="124"/>
      <c r="E23" s="124"/>
      <c r="F23" s="123"/>
      <c r="G23" s="319" t="s">
        <v>390</v>
      </c>
      <c r="H23" s="315" t="s">
        <v>149</v>
      </c>
      <c r="I23" s="156" t="e" cm="1">
        <f t="array" ref="I23">_xlfn.XLOOKUP(1, ('0. GUIDELINES'!$E$3='[1]input-labor'!$A:$A) * (I$7='[1]input-labor'!$B:$B) * ($A23='[1]input-labor'!$C:$C) * ($E$4='[1]input-labor'!$G:$G), '[1]input-labor'!$D:$D)</f>
        <v>#N/A</v>
      </c>
      <c r="J23" s="156" t="e" cm="1">
        <f t="array" ref="J23">_xlfn.XLOOKUP(1, ('0. GUIDELINES'!$E$3='[1]input-labor'!$A:$A) * (J$7='[1]input-labor'!$B:$B) * ($A23='[1]input-labor'!$C:$C) * ($E$4='[1]input-labor'!$G:$G), '[1]input-labor'!$D:$D)</f>
        <v>#N/A</v>
      </c>
      <c r="K23" s="156" t="e" cm="1">
        <f t="array" ref="K23">_xlfn.XLOOKUP(1, ('0. GUIDELINES'!$E$3='[1]input-labor'!$A:$A) * (K$7='[1]input-labor'!$B:$B) * ($A23='[1]input-labor'!$C:$C) * ($E$4='[1]input-labor'!$G:$G), '[1]input-labor'!$D:$D)</f>
        <v>#N/A</v>
      </c>
      <c r="L23" s="156" t="e" cm="1">
        <f t="array" ref="L23">_xlfn.XLOOKUP(1, ('0. GUIDELINES'!$E$3='[1]input-labor'!$A:$A) * (L$7='[1]input-labor'!$B:$B) * ($A23='[1]input-labor'!$C:$C) * ($E$4='[1]input-labor'!$G:$G), '[1]input-labor'!$D:$D)</f>
        <v>#N/A</v>
      </c>
      <c r="M23" s="156" t="e" cm="1">
        <f t="array" ref="M23">_xlfn.XLOOKUP(1, ('0. GUIDELINES'!$E$3='[1]input-labor'!$A:$A) * (M$7='[1]input-labor'!$B:$B) * ($A23='[1]input-labor'!$C:$C) * ($E$4='[1]input-labor'!$G:$G), '[1]input-labor'!$D:$D)</f>
        <v>#N/A</v>
      </c>
      <c r="N23" s="156" t="e" cm="1">
        <f t="array" ref="N23">_xlfn.XLOOKUP(1, ('0. GUIDELINES'!$E$3='[1]input-labor'!$A:$A) * (N$7='[1]input-labor'!$B:$B) * ($A23='[1]input-labor'!$C:$C) * ($E$4='[1]input-labor'!$G:$G), '[1]input-labor'!$D:$D)</f>
        <v>#N/A</v>
      </c>
      <c r="O23" s="156" t="e" cm="1">
        <f t="array" ref="O23">_xlfn.XLOOKUP(1, ('0. GUIDELINES'!$E$3='[1]input-labor'!$A:$A) * (O$7='[1]input-labor'!$B:$B) * ($A23='[1]input-labor'!$C:$C) * ($E$4='[1]input-labor'!$G:$G), '[1]input-labor'!$D:$D)</f>
        <v>#N/A</v>
      </c>
      <c r="P23" s="156" t="e" cm="1">
        <f t="array" ref="P23">_xlfn.XLOOKUP(1, ('0. GUIDELINES'!$E$3='[1]input-labor'!$A:$A) * (P$7='[1]input-labor'!$B:$B) * ($A23='[1]input-labor'!$C:$C) * ($E$4='[1]input-labor'!$G:$G), '[1]input-labor'!$D:$D)</f>
        <v>#N/A</v>
      </c>
      <c r="Q23" s="156" t="e" cm="1">
        <f t="array" ref="Q23">_xlfn.XLOOKUP(1, ('0. GUIDELINES'!$E$3='[1]input-labor'!$A:$A) * (Q$7='[1]input-labor'!$B:$B) * ($A23='[1]input-labor'!$C:$C) * ($E$4='[1]input-labor'!$G:$G), '[1]input-labor'!$D:$D)</f>
        <v>#N/A</v>
      </c>
      <c r="R23" s="156" t="e" cm="1">
        <f t="array" ref="R23">_xlfn.XLOOKUP(1, ('0. GUIDELINES'!$E$3='[1]input-labor'!$A:$A) * (R$7='[1]input-labor'!$B:$B) * ($A23='[1]input-labor'!$C:$C) * ($E$4='[1]input-labor'!$G:$G), '[1]input-labor'!$D:$D)</f>
        <v>#N/A</v>
      </c>
      <c r="S23" s="156" t="e" cm="1">
        <f t="array" ref="S23">_xlfn.XLOOKUP(1, ('0. GUIDELINES'!$E$3='[1]input-labor'!$A:$A) * (S$7='[1]input-labor'!$B:$B) * ($A23='[1]input-labor'!$C:$C) * ($E$4='[1]input-labor'!$G:$G), '[1]input-labor'!$D:$D)</f>
        <v>#N/A</v>
      </c>
      <c r="T23" s="156" cm="1">
        <f t="array" ref="T23">_xlfn.XLOOKUP(1, ('0. GUIDELINES'!$E$3='[1]input-labor'!$A:$A) * (T$7='[1]input-labor'!$B:$B) * ($A23='[1]input-labor'!$C:$C) * ($E$4='[1]input-labor'!$G:$G), '[1]input-labor'!$D:$D)</f>
        <v>2149601.5</v>
      </c>
      <c r="U23" s="156" t="e" cm="1">
        <f t="array" ref="U23">_xlfn.XLOOKUP(1, ('0. GUIDELINES'!$E$3='[1]input-labor'!$A:$A) * (U$7='[1]input-labor'!$B:$B) * ($A23='[1]input-labor'!$C:$C) * ($E$4='[1]input-labor'!$G:$G), '[1]input-labor'!$D:$D)</f>
        <v>#N/A</v>
      </c>
      <c r="V23" s="156" t="e" cm="1">
        <f t="array" ref="V23">_xlfn.XLOOKUP(1, ('0. GUIDELINES'!$E$3='[1]input-labor'!$A:$A) * (V$7='[1]input-labor'!$B:$B) * ($A23='[1]input-labor'!$C:$C) * ($E$4='[1]input-labor'!$G:$G), '[1]input-labor'!$D:$D)</f>
        <v>#N/A</v>
      </c>
      <c r="W23" s="156" t="e" cm="1">
        <f t="array" ref="W23">_xlfn.XLOOKUP(1, ('0. GUIDELINES'!$E$3='[1]input-labor'!$A:$A) * (W$7='[1]input-labor'!$B:$B) * ($A23='[1]input-labor'!$C:$C) * ($E$4='[1]input-labor'!$G:$G), '[1]input-labor'!$D:$D)</f>
        <v>#N/A</v>
      </c>
      <c r="X23" s="156" t="e" cm="1">
        <f t="array" ref="X23">_xlfn.XLOOKUP(1, ('0. GUIDELINES'!$E$3='[1]input-labor'!$A:$A) * (X$7='[1]input-labor'!$B:$B) * ($A23='[1]input-labor'!$C:$C) * ($E$4='[1]input-labor'!$G:$G), '[1]input-labor'!$D:$D)</f>
        <v>#N/A</v>
      </c>
      <c r="Y23" s="156" t="e" cm="1">
        <f t="array" ref="Y23">_xlfn.XLOOKUP(1, ('0. GUIDELINES'!$E$3='[1]input-labor'!$A:$A) * (Y$7='[1]input-labor'!$B:$B) * ($A23='[1]input-labor'!$C:$C) * ($E$4='[1]input-labor'!$G:$G), '[1]input-labor'!$D:$D)</f>
        <v>#N/A</v>
      </c>
      <c r="Z23" s="156" cm="1">
        <f t="array" ref="Z23">_xlfn.XLOOKUP(1, ('0. GUIDELINES'!$E$3='[1]input-labor'!$A:$A) * (Z$7='[1]input-labor'!$B:$B) * ($A23='[1]input-labor'!$C:$C) * ($E$4='[1]input-labor'!$G:$G), '[1]input-labor'!$D:$D)</f>
        <v>2610536</v>
      </c>
      <c r="AA23" s="144">
        <f>Z23*(1+'GROWTH RATES'!X12/100)</f>
        <v>2544526.5240695807</v>
      </c>
      <c r="AB23" s="144">
        <f>AA23*(1+'GROWTH RATES'!Y12/100)</f>
        <v>2588098.320933593</v>
      </c>
      <c r="AC23" s="144">
        <f>AB23*(1+'GROWTH RATES'!Z12/100)</f>
        <v>2622722.6932012499</v>
      </c>
      <c r="AD23" s="144">
        <f>AC23*(1+'GROWTH RATES'!AA12/100)</f>
        <v>2647900.831055982</v>
      </c>
      <c r="AE23" s="332"/>
    </row>
    <row r="24" spans="1:31" x14ac:dyDescent="0.2">
      <c r="A24" s="88" t="s">
        <v>433</v>
      </c>
      <c r="B24" s="292"/>
      <c r="C24" s="124"/>
      <c r="D24" s="124"/>
      <c r="E24" s="124"/>
      <c r="F24" s="123"/>
      <c r="G24" s="319" t="s">
        <v>389</v>
      </c>
      <c r="H24" s="315" t="s">
        <v>151</v>
      </c>
      <c r="I24" s="156" t="e" cm="1">
        <f t="array" ref="I24">_xlfn.XLOOKUP(1, ('0. GUIDELINES'!$E$3='[1]input-labor'!$A:$A) * (I$7='[1]input-labor'!$B:$B) * ($A24='[1]input-labor'!$C:$C) * ($E$4='[1]input-labor'!$G:$G), '[1]input-labor'!$D:$D)</f>
        <v>#N/A</v>
      </c>
      <c r="J24" s="156" t="e" cm="1">
        <f t="array" ref="J24">_xlfn.XLOOKUP(1, ('0. GUIDELINES'!$E$3='[1]input-labor'!$A:$A) * (J$7='[1]input-labor'!$B:$B) * ($A24='[1]input-labor'!$C:$C) * ($E$4='[1]input-labor'!$G:$G), '[1]input-labor'!$D:$D)</f>
        <v>#N/A</v>
      </c>
      <c r="K24" s="156" t="e" cm="1">
        <f t="array" ref="K24">_xlfn.XLOOKUP(1, ('0. GUIDELINES'!$E$3='[1]input-labor'!$A:$A) * (K$7='[1]input-labor'!$B:$B) * ($A24='[1]input-labor'!$C:$C) * ($E$4='[1]input-labor'!$G:$G), '[1]input-labor'!$D:$D)</f>
        <v>#N/A</v>
      </c>
      <c r="L24" s="156" t="e" cm="1">
        <f t="array" ref="L24">_xlfn.XLOOKUP(1, ('0. GUIDELINES'!$E$3='[1]input-labor'!$A:$A) * (L$7='[1]input-labor'!$B:$B) * ($A24='[1]input-labor'!$C:$C) * ($E$4='[1]input-labor'!$G:$G), '[1]input-labor'!$D:$D)</f>
        <v>#N/A</v>
      </c>
      <c r="M24" s="156" t="e" cm="1">
        <f t="array" ref="M24">_xlfn.XLOOKUP(1, ('0. GUIDELINES'!$E$3='[1]input-labor'!$A:$A) * (M$7='[1]input-labor'!$B:$B) * ($A24='[1]input-labor'!$C:$C) * ($E$4='[1]input-labor'!$G:$G), '[1]input-labor'!$D:$D)</f>
        <v>#N/A</v>
      </c>
      <c r="N24" s="156" t="e" cm="1">
        <f t="array" ref="N24">_xlfn.XLOOKUP(1, ('0. GUIDELINES'!$E$3='[1]input-labor'!$A:$A) * (N$7='[1]input-labor'!$B:$B) * ($A24='[1]input-labor'!$C:$C) * ($E$4='[1]input-labor'!$G:$G), '[1]input-labor'!$D:$D)</f>
        <v>#N/A</v>
      </c>
      <c r="O24" s="156" t="e" cm="1">
        <f t="array" ref="O24">_xlfn.XLOOKUP(1, ('0. GUIDELINES'!$E$3='[1]input-labor'!$A:$A) * (O$7='[1]input-labor'!$B:$B) * ($A24='[1]input-labor'!$C:$C) * ($E$4='[1]input-labor'!$G:$G), '[1]input-labor'!$D:$D)</f>
        <v>#N/A</v>
      </c>
      <c r="P24" s="156" t="e" cm="1">
        <f t="array" ref="P24">_xlfn.XLOOKUP(1, ('0. GUIDELINES'!$E$3='[1]input-labor'!$A:$A) * (P$7='[1]input-labor'!$B:$B) * ($A24='[1]input-labor'!$C:$C) * ($E$4='[1]input-labor'!$G:$G), '[1]input-labor'!$D:$D)</f>
        <v>#N/A</v>
      </c>
      <c r="Q24" s="156" t="e" cm="1">
        <f t="array" ref="Q24">_xlfn.XLOOKUP(1, ('0. GUIDELINES'!$E$3='[1]input-labor'!$A:$A) * (Q$7='[1]input-labor'!$B:$B) * ($A24='[1]input-labor'!$C:$C) * ($E$4='[1]input-labor'!$G:$G), '[1]input-labor'!$D:$D)</f>
        <v>#N/A</v>
      </c>
      <c r="R24" s="156" t="e" cm="1">
        <f t="array" ref="R24">_xlfn.XLOOKUP(1, ('0. GUIDELINES'!$E$3='[1]input-labor'!$A:$A) * (R$7='[1]input-labor'!$B:$B) * ($A24='[1]input-labor'!$C:$C) * ($E$4='[1]input-labor'!$G:$G), '[1]input-labor'!$D:$D)</f>
        <v>#N/A</v>
      </c>
      <c r="S24" s="156" t="e" cm="1">
        <f t="array" ref="S24">_xlfn.XLOOKUP(1, ('0. GUIDELINES'!$E$3='[1]input-labor'!$A:$A) * (S$7='[1]input-labor'!$B:$B) * ($A24='[1]input-labor'!$C:$C) * ($E$4='[1]input-labor'!$G:$G), '[1]input-labor'!$D:$D)</f>
        <v>#N/A</v>
      </c>
      <c r="T24" s="156" cm="1">
        <f t="array" ref="T24">_xlfn.XLOOKUP(1, ('0. GUIDELINES'!$E$3='[1]input-labor'!$A:$A) * (T$7='[1]input-labor'!$B:$B) * ($A24='[1]input-labor'!$C:$C) * ($E$4='[1]input-labor'!$G:$G), '[1]input-labor'!$D:$D)</f>
        <v>14384454</v>
      </c>
      <c r="U24" s="156" t="e" cm="1">
        <f t="array" ref="U24">_xlfn.XLOOKUP(1, ('0. GUIDELINES'!$E$3='[1]input-labor'!$A:$A) * (U$7='[1]input-labor'!$B:$B) * ($A24='[1]input-labor'!$C:$C) * ($E$4='[1]input-labor'!$G:$G), '[1]input-labor'!$D:$D)</f>
        <v>#N/A</v>
      </c>
      <c r="V24" s="156" t="e" cm="1">
        <f t="array" ref="V24">_xlfn.XLOOKUP(1, ('0. GUIDELINES'!$E$3='[1]input-labor'!$A:$A) * (V$7='[1]input-labor'!$B:$B) * ($A24='[1]input-labor'!$C:$C) * ($E$4='[1]input-labor'!$G:$G), '[1]input-labor'!$D:$D)</f>
        <v>#N/A</v>
      </c>
      <c r="W24" s="156" t="e" cm="1">
        <f t="array" ref="W24">_xlfn.XLOOKUP(1, ('0. GUIDELINES'!$E$3='[1]input-labor'!$A:$A) * (W$7='[1]input-labor'!$B:$B) * ($A24='[1]input-labor'!$C:$C) * ($E$4='[1]input-labor'!$G:$G), '[1]input-labor'!$D:$D)</f>
        <v>#N/A</v>
      </c>
      <c r="X24" s="156" t="e" cm="1">
        <f t="array" ref="X24">_xlfn.XLOOKUP(1, ('0. GUIDELINES'!$E$3='[1]input-labor'!$A:$A) * (X$7='[1]input-labor'!$B:$B) * ($A24='[1]input-labor'!$C:$C) * ($E$4='[1]input-labor'!$G:$G), '[1]input-labor'!$D:$D)</f>
        <v>#N/A</v>
      </c>
      <c r="Y24" s="156" t="e" cm="1">
        <f t="array" ref="Y24">_xlfn.XLOOKUP(1, ('0. GUIDELINES'!$E$3='[1]input-labor'!$A:$A) * (Y$7='[1]input-labor'!$B:$B) * ($A24='[1]input-labor'!$C:$C) * ($E$4='[1]input-labor'!$G:$G), '[1]input-labor'!$D:$D)</f>
        <v>#N/A</v>
      </c>
      <c r="Z24" s="156" cm="1">
        <f t="array" ref="Z24">_xlfn.XLOOKUP(1, ('0. GUIDELINES'!$E$3='[1]input-labor'!$A:$A) * (Z$7='[1]input-labor'!$B:$B) * ($A24='[1]input-labor'!$C:$C) * ($E$4='[1]input-labor'!$G:$G), '[1]input-labor'!$D:$D)</f>
        <v>15871659</v>
      </c>
      <c r="AA24" s="144">
        <f>Z24*(1+'GROWTH RATES'!X13/100)</f>
        <v>15470331.497626416</v>
      </c>
      <c r="AB24" s="144">
        <f>AA24*(1+'GROWTH RATES'!Y13/100)</f>
        <v>15702784.355033716</v>
      </c>
      <c r="AC24" s="144">
        <f>AB24*(1+'GROWTH RATES'!Z13/100)</f>
        <v>15887122.233697632</v>
      </c>
      <c r="AD24" s="144">
        <f>AC24*(1+'GROWTH RATES'!AA13/100)</f>
        <v>16014219.211567214</v>
      </c>
    </row>
    <row r="25" spans="1:31" x14ac:dyDescent="0.2">
      <c r="A25" s="88" t="s">
        <v>434</v>
      </c>
      <c r="B25" s="292"/>
      <c r="C25" s="124"/>
      <c r="D25" s="124"/>
      <c r="E25" s="124"/>
      <c r="F25" s="123"/>
      <c r="G25" s="319" t="s">
        <v>616</v>
      </c>
      <c r="H25" s="315" t="s">
        <v>153</v>
      </c>
      <c r="I25" s="156" t="e" cm="1">
        <f t="array" ref="I25">_xlfn.XLOOKUP(1, ('0. GUIDELINES'!$E$3='[1]input-labor'!$A:$A) * (I$7='[1]input-labor'!$B:$B) * ($A25='[1]input-labor'!$C:$C) * ($E$4='[1]input-labor'!$G:$G), '[1]input-labor'!$D:$D)</f>
        <v>#N/A</v>
      </c>
      <c r="J25" s="156" t="e" cm="1">
        <f t="array" ref="J25">_xlfn.XLOOKUP(1, ('0. GUIDELINES'!$E$3='[1]input-labor'!$A:$A) * (J$7='[1]input-labor'!$B:$B) * ($A25='[1]input-labor'!$C:$C) * ($E$4='[1]input-labor'!$G:$G), '[1]input-labor'!$D:$D)</f>
        <v>#N/A</v>
      </c>
      <c r="K25" s="156" t="e" cm="1">
        <f t="array" ref="K25">_xlfn.XLOOKUP(1, ('0. GUIDELINES'!$E$3='[1]input-labor'!$A:$A) * (K$7='[1]input-labor'!$B:$B) * ($A25='[1]input-labor'!$C:$C) * ($E$4='[1]input-labor'!$G:$G), '[1]input-labor'!$D:$D)</f>
        <v>#N/A</v>
      </c>
      <c r="L25" s="156" t="e" cm="1">
        <f t="array" ref="L25">_xlfn.XLOOKUP(1, ('0. GUIDELINES'!$E$3='[1]input-labor'!$A:$A) * (L$7='[1]input-labor'!$B:$B) * ($A25='[1]input-labor'!$C:$C) * ($E$4='[1]input-labor'!$G:$G), '[1]input-labor'!$D:$D)</f>
        <v>#N/A</v>
      </c>
      <c r="M25" s="156" t="e" cm="1">
        <f t="array" ref="M25">_xlfn.XLOOKUP(1, ('0. GUIDELINES'!$E$3='[1]input-labor'!$A:$A) * (M$7='[1]input-labor'!$B:$B) * ($A25='[1]input-labor'!$C:$C) * ($E$4='[1]input-labor'!$G:$G), '[1]input-labor'!$D:$D)</f>
        <v>#N/A</v>
      </c>
      <c r="N25" s="156" t="e" cm="1">
        <f t="array" ref="N25">_xlfn.XLOOKUP(1, ('0. GUIDELINES'!$E$3='[1]input-labor'!$A:$A) * (N$7='[1]input-labor'!$B:$B) * ($A25='[1]input-labor'!$C:$C) * ($E$4='[1]input-labor'!$G:$G), '[1]input-labor'!$D:$D)</f>
        <v>#N/A</v>
      </c>
      <c r="O25" s="156" t="e" cm="1">
        <f t="array" ref="O25">_xlfn.XLOOKUP(1, ('0. GUIDELINES'!$E$3='[1]input-labor'!$A:$A) * (O$7='[1]input-labor'!$B:$B) * ($A25='[1]input-labor'!$C:$C) * ($E$4='[1]input-labor'!$G:$G), '[1]input-labor'!$D:$D)</f>
        <v>#N/A</v>
      </c>
      <c r="P25" s="156" t="e" cm="1">
        <f t="array" ref="P25">_xlfn.XLOOKUP(1, ('0. GUIDELINES'!$E$3='[1]input-labor'!$A:$A) * (P$7='[1]input-labor'!$B:$B) * ($A25='[1]input-labor'!$C:$C) * ($E$4='[1]input-labor'!$G:$G), '[1]input-labor'!$D:$D)</f>
        <v>#N/A</v>
      </c>
      <c r="Q25" s="156" t="e" cm="1">
        <f t="array" ref="Q25">_xlfn.XLOOKUP(1, ('0. GUIDELINES'!$E$3='[1]input-labor'!$A:$A) * (Q$7='[1]input-labor'!$B:$B) * ($A25='[1]input-labor'!$C:$C) * ($E$4='[1]input-labor'!$G:$G), '[1]input-labor'!$D:$D)</f>
        <v>#N/A</v>
      </c>
      <c r="R25" s="156" t="e" cm="1">
        <f t="array" ref="R25">_xlfn.XLOOKUP(1, ('0. GUIDELINES'!$E$3='[1]input-labor'!$A:$A) * (R$7='[1]input-labor'!$B:$B) * ($A25='[1]input-labor'!$C:$C) * ($E$4='[1]input-labor'!$G:$G), '[1]input-labor'!$D:$D)</f>
        <v>#N/A</v>
      </c>
      <c r="S25" s="156" t="e" cm="1">
        <f t="array" ref="S25">_xlfn.XLOOKUP(1, ('0. GUIDELINES'!$E$3='[1]input-labor'!$A:$A) * (S$7='[1]input-labor'!$B:$B) * ($A25='[1]input-labor'!$C:$C) * ($E$4='[1]input-labor'!$G:$G), '[1]input-labor'!$D:$D)</f>
        <v>#N/A</v>
      </c>
      <c r="T25" s="156" cm="1">
        <f t="array" ref="T25">_xlfn.XLOOKUP(1, ('0. GUIDELINES'!$E$3='[1]input-labor'!$A:$A) * (T$7='[1]input-labor'!$B:$B) * ($A25='[1]input-labor'!$C:$C) * ($E$4='[1]input-labor'!$G:$G), '[1]input-labor'!$D:$D)</f>
        <v>9695195</v>
      </c>
      <c r="U25" s="156" t="e" cm="1">
        <f t="array" ref="U25">_xlfn.XLOOKUP(1, ('0. GUIDELINES'!$E$3='[1]input-labor'!$A:$A) * (U$7='[1]input-labor'!$B:$B) * ($A25='[1]input-labor'!$C:$C) * ($E$4='[1]input-labor'!$G:$G), '[1]input-labor'!$D:$D)</f>
        <v>#N/A</v>
      </c>
      <c r="V25" s="156" t="e" cm="1">
        <f t="array" ref="V25">_xlfn.XLOOKUP(1, ('0. GUIDELINES'!$E$3='[1]input-labor'!$A:$A) * (V$7='[1]input-labor'!$B:$B) * ($A25='[1]input-labor'!$C:$C) * ($E$4='[1]input-labor'!$G:$G), '[1]input-labor'!$D:$D)</f>
        <v>#N/A</v>
      </c>
      <c r="W25" s="156" t="e" cm="1">
        <f t="array" ref="W25">_xlfn.XLOOKUP(1, ('0. GUIDELINES'!$E$3='[1]input-labor'!$A:$A) * (W$7='[1]input-labor'!$B:$B) * ($A25='[1]input-labor'!$C:$C) * ($E$4='[1]input-labor'!$G:$G), '[1]input-labor'!$D:$D)</f>
        <v>#N/A</v>
      </c>
      <c r="X25" s="156" t="e" cm="1">
        <f t="array" ref="X25">_xlfn.XLOOKUP(1, ('0. GUIDELINES'!$E$3='[1]input-labor'!$A:$A) * (X$7='[1]input-labor'!$B:$B) * ($A25='[1]input-labor'!$C:$C) * ($E$4='[1]input-labor'!$G:$G), '[1]input-labor'!$D:$D)</f>
        <v>#N/A</v>
      </c>
      <c r="Y25" s="156" t="e" cm="1">
        <f t="array" ref="Y25">_xlfn.XLOOKUP(1, ('0. GUIDELINES'!$E$3='[1]input-labor'!$A:$A) * (Y$7='[1]input-labor'!$B:$B) * ($A25='[1]input-labor'!$C:$C) * ($E$4='[1]input-labor'!$G:$G), '[1]input-labor'!$D:$D)</f>
        <v>#N/A</v>
      </c>
      <c r="Z25" s="156" cm="1">
        <f t="array" ref="Z25">_xlfn.XLOOKUP(1, ('0. GUIDELINES'!$E$3='[1]input-labor'!$A:$A) * (Z$7='[1]input-labor'!$B:$B) * ($A25='[1]input-labor'!$C:$C) * ($E$4='[1]input-labor'!$G:$G), '[1]input-labor'!$D:$D)</f>
        <v>10125834</v>
      </c>
      <c r="AA25" s="144">
        <f>Z25*(1+'GROWTH RATES'!X14/100)</f>
        <v>10147041.414247677</v>
      </c>
      <c r="AB25" s="144">
        <f>AA25*(1+'GROWTH RATES'!Y14/100)</f>
        <v>10218474.445947777</v>
      </c>
      <c r="AC25" s="144">
        <f>AB25*(1+'GROWTH RATES'!Z14/100)</f>
        <v>10450903.245039381</v>
      </c>
      <c r="AD25" s="144">
        <f>AC25*(1+'GROWTH RATES'!AA14/100)</f>
        <v>10689899.512157548</v>
      </c>
    </row>
    <row r="26" spans="1:31" x14ac:dyDescent="0.2">
      <c r="A26" s="88" t="s">
        <v>435</v>
      </c>
      <c r="B26" s="292"/>
      <c r="C26" s="124"/>
      <c r="D26" s="124"/>
      <c r="E26" s="124"/>
      <c r="F26" s="123"/>
      <c r="G26" s="319" t="s">
        <v>617</v>
      </c>
      <c r="H26" s="315" t="s">
        <v>406</v>
      </c>
      <c r="I26" s="156" t="e" cm="1">
        <f t="array" ref="I26">_xlfn.XLOOKUP(1, ('0. GUIDELINES'!$E$3='[1]input-labor'!$A:$A) * (I$7='[1]input-labor'!$B:$B) * ($A26='[1]input-labor'!$C:$C) * ($E$4='[1]input-labor'!$G:$G), '[1]input-labor'!$D:$D)</f>
        <v>#N/A</v>
      </c>
      <c r="J26" s="156" t="e" cm="1">
        <f t="array" ref="J26">_xlfn.XLOOKUP(1, ('0. GUIDELINES'!$E$3='[1]input-labor'!$A:$A) * (J$7='[1]input-labor'!$B:$B) * ($A26='[1]input-labor'!$C:$C) * ($E$4='[1]input-labor'!$G:$G), '[1]input-labor'!$D:$D)</f>
        <v>#N/A</v>
      </c>
      <c r="K26" s="156" t="e" cm="1">
        <f t="array" ref="K26">_xlfn.XLOOKUP(1, ('0. GUIDELINES'!$E$3='[1]input-labor'!$A:$A) * (K$7='[1]input-labor'!$B:$B) * ($A26='[1]input-labor'!$C:$C) * ($E$4='[1]input-labor'!$G:$G), '[1]input-labor'!$D:$D)</f>
        <v>#N/A</v>
      </c>
      <c r="L26" s="156" t="e" cm="1">
        <f t="array" ref="L26">_xlfn.XLOOKUP(1, ('0. GUIDELINES'!$E$3='[1]input-labor'!$A:$A) * (L$7='[1]input-labor'!$B:$B) * ($A26='[1]input-labor'!$C:$C) * ($E$4='[1]input-labor'!$G:$G), '[1]input-labor'!$D:$D)</f>
        <v>#N/A</v>
      </c>
      <c r="M26" s="156" t="e" cm="1">
        <f t="array" ref="M26">_xlfn.XLOOKUP(1, ('0. GUIDELINES'!$E$3='[1]input-labor'!$A:$A) * (M$7='[1]input-labor'!$B:$B) * ($A26='[1]input-labor'!$C:$C) * ($E$4='[1]input-labor'!$G:$G), '[1]input-labor'!$D:$D)</f>
        <v>#N/A</v>
      </c>
      <c r="N26" s="156" t="e" cm="1">
        <f t="array" ref="N26">_xlfn.XLOOKUP(1, ('0. GUIDELINES'!$E$3='[1]input-labor'!$A:$A) * (N$7='[1]input-labor'!$B:$B) * ($A26='[1]input-labor'!$C:$C) * ($E$4='[1]input-labor'!$G:$G), '[1]input-labor'!$D:$D)</f>
        <v>#N/A</v>
      </c>
      <c r="O26" s="156" t="e" cm="1">
        <f t="array" ref="O26">_xlfn.XLOOKUP(1, ('0. GUIDELINES'!$E$3='[1]input-labor'!$A:$A) * (O$7='[1]input-labor'!$B:$B) * ($A26='[1]input-labor'!$C:$C) * ($E$4='[1]input-labor'!$G:$G), '[1]input-labor'!$D:$D)</f>
        <v>#N/A</v>
      </c>
      <c r="P26" s="156" t="e" cm="1">
        <f t="array" ref="P26">_xlfn.XLOOKUP(1, ('0. GUIDELINES'!$E$3='[1]input-labor'!$A:$A) * (P$7='[1]input-labor'!$B:$B) * ($A26='[1]input-labor'!$C:$C) * ($E$4='[1]input-labor'!$G:$G), '[1]input-labor'!$D:$D)</f>
        <v>#N/A</v>
      </c>
      <c r="Q26" s="156" t="e" cm="1">
        <f t="array" ref="Q26">_xlfn.XLOOKUP(1, ('0. GUIDELINES'!$E$3='[1]input-labor'!$A:$A) * (Q$7='[1]input-labor'!$B:$B) * ($A26='[1]input-labor'!$C:$C) * ($E$4='[1]input-labor'!$G:$G), '[1]input-labor'!$D:$D)</f>
        <v>#N/A</v>
      </c>
      <c r="R26" s="156" t="e" cm="1">
        <f t="array" ref="R26">_xlfn.XLOOKUP(1, ('0. GUIDELINES'!$E$3='[1]input-labor'!$A:$A) * (R$7='[1]input-labor'!$B:$B) * ($A26='[1]input-labor'!$C:$C) * ($E$4='[1]input-labor'!$G:$G), '[1]input-labor'!$D:$D)</f>
        <v>#N/A</v>
      </c>
      <c r="S26" s="156" t="e" cm="1">
        <f t="array" ref="S26">_xlfn.XLOOKUP(1, ('0. GUIDELINES'!$E$3='[1]input-labor'!$A:$A) * (S$7='[1]input-labor'!$B:$B) * ($A26='[1]input-labor'!$C:$C) * ($E$4='[1]input-labor'!$G:$G), '[1]input-labor'!$D:$D)</f>
        <v>#N/A</v>
      </c>
      <c r="T26" s="156" cm="1">
        <f t="array" ref="T26">_xlfn.XLOOKUP(1, ('0. GUIDELINES'!$E$3='[1]input-labor'!$A:$A) * (T$7='[1]input-labor'!$B:$B) * ($A26='[1]input-labor'!$C:$C) * ($E$4='[1]input-labor'!$G:$G), '[1]input-labor'!$D:$D)</f>
        <v>2961032.75</v>
      </c>
      <c r="U26" s="156" t="e" cm="1">
        <f t="array" ref="U26">_xlfn.XLOOKUP(1, ('0. GUIDELINES'!$E$3='[1]input-labor'!$A:$A) * (U$7='[1]input-labor'!$B:$B) * ($A26='[1]input-labor'!$C:$C) * ($E$4='[1]input-labor'!$G:$G), '[1]input-labor'!$D:$D)</f>
        <v>#N/A</v>
      </c>
      <c r="V26" s="156" t="e" cm="1">
        <f t="array" ref="V26">_xlfn.XLOOKUP(1, ('0. GUIDELINES'!$E$3='[1]input-labor'!$A:$A) * (V$7='[1]input-labor'!$B:$B) * ($A26='[1]input-labor'!$C:$C) * ($E$4='[1]input-labor'!$G:$G), '[1]input-labor'!$D:$D)</f>
        <v>#N/A</v>
      </c>
      <c r="W26" s="156" t="e" cm="1">
        <f t="array" ref="W26">_xlfn.XLOOKUP(1, ('0. GUIDELINES'!$E$3='[1]input-labor'!$A:$A) * (W$7='[1]input-labor'!$B:$B) * ($A26='[1]input-labor'!$C:$C) * ($E$4='[1]input-labor'!$G:$G), '[1]input-labor'!$D:$D)</f>
        <v>#N/A</v>
      </c>
      <c r="X26" s="156" t="e" cm="1">
        <f t="array" ref="X26">_xlfn.XLOOKUP(1, ('0. GUIDELINES'!$E$3='[1]input-labor'!$A:$A) * (X$7='[1]input-labor'!$B:$B) * ($A26='[1]input-labor'!$C:$C) * ($E$4='[1]input-labor'!$G:$G), '[1]input-labor'!$D:$D)</f>
        <v>#N/A</v>
      </c>
      <c r="Y26" s="156" t="e" cm="1">
        <f t="array" ref="Y26">_xlfn.XLOOKUP(1, ('0. GUIDELINES'!$E$3='[1]input-labor'!$A:$A) * (Y$7='[1]input-labor'!$B:$B) * ($A26='[1]input-labor'!$C:$C) * ($E$4='[1]input-labor'!$G:$G), '[1]input-labor'!$D:$D)</f>
        <v>#N/A</v>
      </c>
      <c r="Z26" s="156" cm="1">
        <f t="array" ref="Z26">_xlfn.XLOOKUP(1, ('0. GUIDELINES'!$E$3='[1]input-labor'!$A:$A) * (Z$7='[1]input-labor'!$B:$B) * ($A26='[1]input-labor'!$C:$C) * ($E$4='[1]input-labor'!$G:$G), '[1]input-labor'!$D:$D)</f>
        <v>6066444</v>
      </c>
      <c r="AA26" s="144">
        <f>Z26*(1+'GROWTH RATES'!X15/100)</f>
        <v>6235850.4125724807</v>
      </c>
      <c r="AB26" s="144">
        <f>AA26*(1+'GROWTH RATES'!Y15/100)</f>
        <v>6299200.0732422788</v>
      </c>
      <c r="AC26" s="144">
        <f>AB26*(1+'GROWTH RATES'!Z15/100)</f>
        <v>6505965.6476900019</v>
      </c>
      <c r="AD26" s="144">
        <f>AC26*(1+'GROWTH RATES'!AA15/100)</f>
        <v>6654747.1900447253</v>
      </c>
    </row>
    <row r="27" spans="1:31" x14ac:dyDescent="0.2">
      <c r="A27" s="88" t="s">
        <v>436</v>
      </c>
      <c r="B27" s="292"/>
      <c r="C27" s="124"/>
      <c r="D27" s="124"/>
      <c r="E27" s="124"/>
      <c r="F27" s="123"/>
      <c r="G27" s="319" t="s">
        <v>618</v>
      </c>
      <c r="H27" s="315" t="s">
        <v>407</v>
      </c>
      <c r="I27" s="156" t="e" cm="1">
        <f t="array" ref="I27">_xlfn.XLOOKUP(1, ('0. GUIDELINES'!$E$3='[1]input-labor'!$A:$A) * (I$7='[1]input-labor'!$B:$B) * ($A27='[1]input-labor'!$C:$C) * ($E$4='[1]input-labor'!$G:$G), '[1]input-labor'!$D:$D)</f>
        <v>#N/A</v>
      </c>
      <c r="J27" s="156" t="e" cm="1">
        <f t="array" ref="J27">_xlfn.XLOOKUP(1, ('0. GUIDELINES'!$E$3='[1]input-labor'!$A:$A) * (J$7='[1]input-labor'!$B:$B) * ($A27='[1]input-labor'!$C:$C) * ($E$4='[1]input-labor'!$G:$G), '[1]input-labor'!$D:$D)</f>
        <v>#N/A</v>
      </c>
      <c r="K27" s="156" t="e" cm="1">
        <f t="array" ref="K27">_xlfn.XLOOKUP(1, ('0. GUIDELINES'!$E$3='[1]input-labor'!$A:$A) * (K$7='[1]input-labor'!$B:$B) * ($A27='[1]input-labor'!$C:$C) * ($E$4='[1]input-labor'!$G:$G), '[1]input-labor'!$D:$D)</f>
        <v>#N/A</v>
      </c>
      <c r="L27" s="156" t="e" cm="1">
        <f t="array" ref="L27">_xlfn.XLOOKUP(1, ('0. GUIDELINES'!$E$3='[1]input-labor'!$A:$A) * (L$7='[1]input-labor'!$B:$B) * ($A27='[1]input-labor'!$C:$C) * ($E$4='[1]input-labor'!$G:$G), '[1]input-labor'!$D:$D)</f>
        <v>#N/A</v>
      </c>
      <c r="M27" s="156" t="e" cm="1">
        <f t="array" ref="M27">_xlfn.XLOOKUP(1, ('0. GUIDELINES'!$E$3='[1]input-labor'!$A:$A) * (M$7='[1]input-labor'!$B:$B) * ($A27='[1]input-labor'!$C:$C) * ($E$4='[1]input-labor'!$G:$G), '[1]input-labor'!$D:$D)</f>
        <v>#N/A</v>
      </c>
      <c r="N27" s="156" t="e" cm="1">
        <f t="array" ref="N27">_xlfn.XLOOKUP(1, ('0. GUIDELINES'!$E$3='[1]input-labor'!$A:$A) * (N$7='[1]input-labor'!$B:$B) * ($A27='[1]input-labor'!$C:$C) * ($E$4='[1]input-labor'!$G:$G), '[1]input-labor'!$D:$D)</f>
        <v>#N/A</v>
      </c>
      <c r="O27" s="156" t="e" cm="1">
        <f t="array" ref="O27">_xlfn.XLOOKUP(1, ('0. GUIDELINES'!$E$3='[1]input-labor'!$A:$A) * (O$7='[1]input-labor'!$B:$B) * ($A27='[1]input-labor'!$C:$C) * ($E$4='[1]input-labor'!$G:$G), '[1]input-labor'!$D:$D)</f>
        <v>#N/A</v>
      </c>
      <c r="P27" s="156" t="e" cm="1">
        <f t="array" ref="P27">_xlfn.XLOOKUP(1, ('0. GUIDELINES'!$E$3='[1]input-labor'!$A:$A) * (P$7='[1]input-labor'!$B:$B) * ($A27='[1]input-labor'!$C:$C) * ($E$4='[1]input-labor'!$G:$G), '[1]input-labor'!$D:$D)</f>
        <v>#N/A</v>
      </c>
      <c r="Q27" s="156" t="e" cm="1">
        <f t="array" ref="Q27">_xlfn.XLOOKUP(1, ('0. GUIDELINES'!$E$3='[1]input-labor'!$A:$A) * (Q$7='[1]input-labor'!$B:$B) * ($A27='[1]input-labor'!$C:$C) * ($E$4='[1]input-labor'!$G:$G), '[1]input-labor'!$D:$D)</f>
        <v>#N/A</v>
      </c>
      <c r="R27" s="156" t="e" cm="1">
        <f t="array" ref="R27">_xlfn.XLOOKUP(1, ('0. GUIDELINES'!$E$3='[1]input-labor'!$A:$A) * (R$7='[1]input-labor'!$B:$B) * ($A27='[1]input-labor'!$C:$C) * ($E$4='[1]input-labor'!$G:$G), '[1]input-labor'!$D:$D)</f>
        <v>#N/A</v>
      </c>
      <c r="S27" s="156" t="e" cm="1">
        <f t="array" ref="S27">_xlfn.XLOOKUP(1, ('0. GUIDELINES'!$E$3='[1]input-labor'!$A:$A) * (S$7='[1]input-labor'!$B:$B) * ($A27='[1]input-labor'!$C:$C) * ($E$4='[1]input-labor'!$G:$G), '[1]input-labor'!$D:$D)</f>
        <v>#N/A</v>
      </c>
      <c r="T27" s="156" cm="1">
        <f t="array" ref="T27">_xlfn.XLOOKUP(1, ('0. GUIDELINES'!$E$3='[1]input-labor'!$A:$A) * (T$7='[1]input-labor'!$B:$B) * ($A27='[1]input-labor'!$C:$C) * ($E$4='[1]input-labor'!$G:$G), '[1]input-labor'!$D:$D)</f>
        <v>13945782</v>
      </c>
      <c r="U27" s="156" t="e" cm="1">
        <f t="array" ref="U27">_xlfn.XLOOKUP(1, ('0. GUIDELINES'!$E$3='[1]input-labor'!$A:$A) * (U$7='[1]input-labor'!$B:$B) * ($A27='[1]input-labor'!$C:$C) * ($E$4='[1]input-labor'!$G:$G), '[1]input-labor'!$D:$D)</f>
        <v>#N/A</v>
      </c>
      <c r="V27" s="156" t="e" cm="1">
        <f t="array" ref="V27">_xlfn.XLOOKUP(1, ('0. GUIDELINES'!$E$3='[1]input-labor'!$A:$A) * (V$7='[1]input-labor'!$B:$B) * ($A27='[1]input-labor'!$C:$C) * ($E$4='[1]input-labor'!$G:$G), '[1]input-labor'!$D:$D)</f>
        <v>#N/A</v>
      </c>
      <c r="W27" s="156" t="e" cm="1">
        <f t="array" ref="W27">_xlfn.XLOOKUP(1, ('0. GUIDELINES'!$E$3='[1]input-labor'!$A:$A) * (W$7='[1]input-labor'!$B:$B) * ($A27='[1]input-labor'!$C:$C) * ($E$4='[1]input-labor'!$G:$G), '[1]input-labor'!$D:$D)</f>
        <v>#N/A</v>
      </c>
      <c r="X27" s="156" t="e" cm="1">
        <f t="array" ref="X27">_xlfn.XLOOKUP(1, ('0. GUIDELINES'!$E$3='[1]input-labor'!$A:$A) * (X$7='[1]input-labor'!$B:$B) * ($A27='[1]input-labor'!$C:$C) * ($E$4='[1]input-labor'!$G:$G), '[1]input-labor'!$D:$D)</f>
        <v>#N/A</v>
      </c>
      <c r="Y27" s="156" t="e" cm="1">
        <f t="array" ref="Y27">_xlfn.XLOOKUP(1, ('0. GUIDELINES'!$E$3='[1]input-labor'!$A:$A) * (Y$7='[1]input-labor'!$B:$B) * ($A27='[1]input-labor'!$C:$C) * ($E$4='[1]input-labor'!$G:$G), '[1]input-labor'!$D:$D)</f>
        <v>#N/A</v>
      </c>
      <c r="Z27" s="156" cm="1">
        <f t="array" ref="Z27">_xlfn.XLOOKUP(1, ('0. GUIDELINES'!$E$3='[1]input-labor'!$A:$A) * (Z$7='[1]input-labor'!$B:$B) * ($A27='[1]input-labor'!$C:$C) * ($E$4='[1]input-labor'!$G:$G), '[1]input-labor'!$D:$D)</f>
        <v>13278361</v>
      </c>
      <c r="AA27" s="144">
        <f>Z27*(1+'GROWTH RATES'!X16/100)</f>
        <v>13607408.172548475</v>
      </c>
      <c r="AB27" s="144">
        <f>AA27*(1+'GROWTH RATES'!Y16/100)</f>
        <v>13964799.345735651</v>
      </c>
      <c r="AC27" s="144">
        <f>AB27*(1+'GROWTH RATES'!Z16/100)</f>
        <v>14216168.696620909</v>
      </c>
      <c r="AD27" s="144">
        <f>AC27*(1+'GROWTH RATES'!AA16/100)</f>
        <v>14345114.53342836</v>
      </c>
    </row>
    <row r="28" spans="1:31" x14ac:dyDescent="0.2">
      <c r="A28" s="88" t="s">
        <v>437</v>
      </c>
      <c r="B28" s="292"/>
      <c r="C28" s="124"/>
      <c r="D28" s="124"/>
      <c r="E28" s="124"/>
      <c r="F28" s="123"/>
      <c r="G28" s="319" t="s">
        <v>619</v>
      </c>
      <c r="H28" s="315" t="s">
        <v>408</v>
      </c>
      <c r="I28" s="156" t="e" cm="1">
        <f t="array" ref="I28">_xlfn.XLOOKUP(1, ('0. GUIDELINES'!$E$3='[1]input-labor'!$A:$A) * (I$7='[1]input-labor'!$B:$B) * ($A28='[1]input-labor'!$C:$C) * ($E$4='[1]input-labor'!$G:$G), '[1]input-labor'!$D:$D)</f>
        <v>#N/A</v>
      </c>
      <c r="J28" s="156" t="e" cm="1">
        <f t="array" ref="J28">_xlfn.XLOOKUP(1, ('0. GUIDELINES'!$E$3='[1]input-labor'!$A:$A) * (J$7='[1]input-labor'!$B:$B) * ($A28='[1]input-labor'!$C:$C) * ($E$4='[1]input-labor'!$G:$G), '[1]input-labor'!$D:$D)</f>
        <v>#N/A</v>
      </c>
      <c r="K28" s="156" t="e" cm="1">
        <f t="array" ref="K28">_xlfn.XLOOKUP(1, ('0. GUIDELINES'!$E$3='[1]input-labor'!$A:$A) * (K$7='[1]input-labor'!$B:$B) * ($A28='[1]input-labor'!$C:$C) * ($E$4='[1]input-labor'!$G:$G), '[1]input-labor'!$D:$D)</f>
        <v>#N/A</v>
      </c>
      <c r="L28" s="156" t="e" cm="1">
        <f t="array" ref="L28">_xlfn.XLOOKUP(1, ('0. GUIDELINES'!$E$3='[1]input-labor'!$A:$A) * (L$7='[1]input-labor'!$B:$B) * ($A28='[1]input-labor'!$C:$C) * ($E$4='[1]input-labor'!$G:$G), '[1]input-labor'!$D:$D)</f>
        <v>#N/A</v>
      </c>
      <c r="M28" s="156" t="e" cm="1">
        <f t="array" ref="M28">_xlfn.XLOOKUP(1, ('0. GUIDELINES'!$E$3='[1]input-labor'!$A:$A) * (M$7='[1]input-labor'!$B:$B) * ($A28='[1]input-labor'!$C:$C) * ($E$4='[1]input-labor'!$G:$G), '[1]input-labor'!$D:$D)</f>
        <v>#N/A</v>
      </c>
      <c r="N28" s="156" t="e" cm="1">
        <f t="array" ref="N28">_xlfn.XLOOKUP(1, ('0. GUIDELINES'!$E$3='[1]input-labor'!$A:$A) * (N$7='[1]input-labor'!$B:$B) * ($A28='[1]input-labor'!$C:$C) * ($E$4='[1]input-labor'!$G:$G), '[1]input-labor'!$D:$D)</f>
        <v>#N/A</v>
      </c>
      <c r="O28" s="156" t="e" cm="1">
        <f t="array" ref="O28">_xlfn.XLOOKUP(1, ('0. GUIDELINES'!$E$3='[1]input-labor'!$A:$A) * (O$7='[1]input-labor'!$B:$B) * ($A28='[1]input-labor'!$C:$C) * ($E$4='[1]input-labor'!$G:$G), '[1]input-labor'!$D:$D)</f>
        <v>#N/A</v>
      </c>
      <c r="P28" s="156" t="e" cm="1">
        <f t="array" ref="P28">_xlfn.XLOOKUP(1, ('0. GUIDELINES'!$E$3='[1]input-labor'!$A:$A) * (P$7='[1]input-labor'!$B:$B) * ($A28='[1]input-labor'!$C:$C) * ($E$4='[1]input-labor'!$G:$G), '[1]input-labor'!$D:$D)</f>
        <v>#N/A</v>
      </c>
      <c r="Q28" s="156" t="e" cm="1">
        <f t="array" ref="Q28">_xlfn.XLOOKUP(1, ('0. GUIDELINES'!$E$3='[1]input-labor'!$A:$A) * (Q$7='[1]input-labor'!$B:$B) * ($A28='[1]input-labor'!$C:$C) * ($E$4='[1]input-labor'!$G:$G), '[1]input-labor'!$D:$D)</f>
        <v>#N/A</v>
      </c>
      <c r="R28" s="156" t="e" cm="1">
        <f t="array" ref="R28">_xlfn.XLOOKUP(1, ('0. GUIDELINES'!$E$3='[1]input-labor'!$A:$A) * (R$7='[1]input-labor'!$B:$B) * ($A28='[1]input-labor'!$C:$C) * ($E$4='[1]input-labor'!$G:$G), '[1]input-labor'!$D:$D)</f>
        <v>#N/A</v>
      </c>
      <c r="S28" s="156" t="e" cm="1">
        <f t="array" ref="S28">_xlfn.XLOOKUP(1, ('0. GUIDELINES'!$E$3='[1]input-labor'!$A:$A) * (S$7='[1]input-labor'!$B:$B) * ($A28='[1]input-labor'!$C:$C) * ($E$4='[1]input-labor'!$G:$G), '[1]input-labor'!$D:$D)</f>
        <v>#N/A</v>
      </c>
      <c r="T28" s="156" cm="1">
        <f t="array" ref="T28">_xlfn.XLOOKUP(1, ('0. GUIDELINES'!$E$3='[1]input-labor'!$A:$A) * (T$7='[1]input-labor'!$B:$B) * ($A28='[1]input-labor'!$C:$C) * ($E$4='[1]input-labor'!$G:$G), '[1]input-labor'!$D:$D)</f>
        <v>6792211.5</v>
      </c>
      <c r="U28" s="156" t="e" cm="1">
        <f t="array" ref="U28">_xlfn.XLOOKUP(1, ('0. GUIDELINES'!$E$3='[1]input-labor'!$A:$A) * (U$7='[1]input-labor'!$B:$B) * ($A28='[1]input-labor'!$C:$C) * ($E$4='[1]input-labor'!$G:$G), '[1]input-labor'!$D:$D)</f>
        <v>#N/A</v>
      </c>
      <c r="V28" s="156" t="e" cm="1">
        <f t="array" ref="V28">_xlfn.XLOOKUP(1, ('0. GUIDELINES'!$E$3='[1]input-labor'!$A:$A) * (V$7='[1]input-labor'!$B:$B) * ($A28='[1]input-labor'!$C:$C) * ($E$4='[1]input-labor'!$G:$G), '[1]input-labor'!$D:$D)</f>
        <v>#N/A</v>
      </c>
      <c r="W28" s="156" t="e" cm="1">
        <f t="array" ref="W28">_xlfn.XLOOKUP(1, ('0. GUIDELINES'!$E$3='[1]input-labor'!$A:$A) * (W$7='[1]input-labor'!$B:$B) * ($A28='[1]input-labor'!$C:$C) * ($E$4='[1]input-labor'!$G:$G), '[1]input-labor'!$D:$D)</f>
        <v>#N/A</v>
      </c>
      <c r="X28" s="156" t="e" cm="1">
        <f t="array" ref="X28">_xlfn.XLOOKUP(1, ('0. GUIDELINES'!$E$3='[1]input-labor'!$A:$A) * (X$7='[1]input-labor'!$B:$B) * ($A28='[1]input-labor'!$C:$C) * ($E$4='[1]input-labor'!$G:$G), '[1]input-labor'!$D:$D)</f>
        <v>#N/A</v>
      </c>
      <c r="Y28" s="156" t="e" cm="1">
        <f t="array" ref="Y28">_xlfn.XLOOKUP(1, ('0. GUIDELINES'!$E$3='[1]input-labor'!$A:$A) * (Y$7='[1]input-labor'!$B:$B) * ($A28='[1]input-labor'!$C:$C) * ($E$4='[1]input-labor'!$G:$G), '[1]input-labor'!$D:$D)</f>
        <v>#N/A</v>
      </c>
      <c r="Z28" s="156" cm="1">
        <f t="array" ref="Z28">_xlfn.XLOOKUP(1, ('0. GUIDELINES'!$E$3='[1]input-labor'!$A:$A) * (Z$7='[1]input-labor'!$B:$B) * ($A28='[1]input-labor'!$C:$C) * ($E$4='[1]input-labor'!$G:$G), '[1]input-labor'!$D:$D)</f>
        <v>10186550</v>
      </c>
      <c r="AA28" s="144">
        <f>Z28*(1+'GROWTH RATES'!X17/100)</f>
        <v>10303749.601188429</v>
      </c>
      <c r="AB28" s="144">
        <f>AA28*(1+'GROWTH RATES'!Y17/100)</f>
        <v>10559703.248931469</v>
      </c>
      <c r="AC28" s="144">
        <f>AB28*(1+'GROWTH RATES'!Z17/100)</f>
        <v>10739477.27923605</v>
      </c>
      <c r="AD28" s="144">
        <f>AC28*(1+'GROWTH RATES'!AA17/100)</f>
        <v>10823900.126134658</v>
      </c>
    </row>
    <row r="29" spans="1:31" x14ac:dyDescent="0.2">
      <c r="A29" s="88"/>
      <c r="B29" s="292"/>
      <c r="C29" s="124"/>
      <c r="D29" s="124"/>
      <c r="E29" s="124"/>
      <c r="F29" s="123"/>
      <c r="G29" s="319"/>
      <c r="H29" s="315"/>
      <c r="I29" s="156"/>
      <c r="J29" s="156"/>
      <c r="K29" s="156"/>
      <c r="L29" s="156"/>
      <c r="M29" s="156"/>
      <c r="N29" s="156"/>
      <c r="O29" s="156"/>
      <c r="P29" s="156"/>
      <c r="Q29" s="156"/>
      <c r="R29" s="156"/>
      <c r="S29" s="156"/>
      <c r="T29" s="156"/>
      <c r="U29" s="156"/>
      <c r="V29" s="156"/>
      <c r="W29" s="156"/>
      <c r="X29" s="156"/>
      <c r="Y29" s="156"/>
      <c r="Z29" s="504"/>
      <c r="AA29" s="144"/>
      <c r="AB29" s="144"/>
      <c r="AC29" s="144"/>
      <c r="AD29" s="144"/>
    </row>
    <row r="30" spans="1:31" x14ac:dyDescent="0.2">
      <c r="A30" s="88"/>
      <c r="B30" s="292"/>
      <c r="C30" s="124"/>
      <c r="D30" s="124"/>
      <c r="E30" s="124"/>
      <c r="F30" s="123"/>
      <c r="G30" s="319"/>
      <c r="H30" s="315"/>
      <c r="I30" s="156"/>
      <c r="J30" s="156"/>
      <c r="K30" s="156"/>
      <c r="L30" s="156"/>
      <c r="M30" s="156"/>
      <c r="N30" s="156"/>
      <c r="O30" s="156"/>
      <c r="P30" s="156"/>
      <c r="Q30" s="156"/>
      <c r="R30" s="156"/>
      <c r="S30" s="156"/>
      <c r="T30" s="156"/>
      <c r="U30" s="156"/>
      <c r="V30" s="156"/>
      <c r="W30" s="156"/>
      <c r="X30" s="156"/>
      <c r="Y30" s="156"/>
      <c r="Z30" s="504"/>
      <c r="AA30" s="505"/>
      <c r="AB30" s="144"/>
      <c r="AC30" s="144"/>
      <c r="AD30" s="144"/>
    </row>
    <row r="31" spans="1:31" x14ac:dyDescent="0.2">
      <c r="A31" s="88"/>
      <c r="B31" s="292"/>
      <c r="C31" s="124"/>
      <c r="D31" s="124"/>
      <c r="E31" s="124"/>
      <c r="F31" s="123"/>
      <c r="G31" s="319"/>
      <c r="H31" s="315"/>
      <c r="I31" s="156"/>
      <c r="J31" s="156"/>
      <c r="K31" s="156"/>
      <c r="L31" s="156"/>
      <c r="M31" s="156"/>
      <c r="N31" s="156"/>
      <c r="O31" s="156"/>
      <c r="P31" s="156"/>
      <c r="Q31" s="156"/>
      <c r="R31" s="156"/>
      <c r="S31" s="156"/>
      <c r="T31" s="156"/>
      <c r="U31" s="156"/>
      <c r="V31" s="156"/>
      <c r="W31" s="156"/>
      <c r="X31" s="156"/>
      <c r="Y31" s="156"/>
      <c r="Z31" s="504"/>
      <c r="AA31" s="505"/>
      <c r="AB31" s="144"/>
      <c r="AC31" s="144"/>
      <c r="AD31" s="144"/>
    </row>
    <row r="32" spans="1:31" x14ac:dyDescent="0.2">
      <c r="A32" s="88"/>
      <c r="B32" s="292"/>
      <c r="C32" s="124"/>
      <c r="D32" s="124"/>
      <c r="E32" s="124"/>
      <c r="F32" s="123"/>
      <c r="G32" s="319"/>
      <c r="H32" s="315"/>
      <c r="I32" s="156"/>
      <c r="J32" s="156"/>
      <c r="K32" s="156"/>
      <c r="L32" s="156"/>
      <c r="M32" s="156"/>
      <c r="N32" s="156"/>
      <c r="O32" s="156"/>
      <c r="P32" s="156"/>
      <c r="Q32" s="156"/>
      <c r="R32" s="156"/>
      <c r="S32" s="156"/>
      <c r="T32" s="156"/>
      <c r="U32" s="156"/>
      <c r="V32" s="156"/>
      <c r="W32" s="156"/>
      <c r="X32" s="156"/>
      <c r="Y32" s="156"/>
      <c r="Z32" s="504"/>
      <c r="AA32" s="144"/>
      <c r="AB32" s="144"/>
      <c r="AC32" s="144"/>
      <c r="AD32" s="144"/>
    </row>
    <row r="33" spans="1:38" x14ac:dyDescent="0.2">
      <c r="A33" s="88"/>
      <c r="B33" s="292"/>
      <c r="C33" s="124"/>
      <c r="D33" s="124"/>
      <c r="E33" s="124"/>
      <c r="F33" s="123"/>
      <c r="G33" s="319"/>
      <c r="H33" s="315"/>
      <c r="I33" s="156"/>
      <c r="J33" s="156"/>
      <c r="K33" s="156"/>
      <c r="L33" s="156"/>
      <c r="M33" s="156"/>
      <c r="N33" s="156"/>
      <c r="O33" s="156"/>
      <c r="P33" s="156"/>
      <c r="Q33" s="156"/>
      <c r="R33" s="156"/>
      <c r="S33" s="156"/>
      <c r="T33" s="156"/>
      <c r="U33" s="156"/>
      <c r="V33" s="156"/>
      <c r="W33" s="156"/>
      <c r="X33" s="156"/>
      <c r="Y33" s="156"/>
      <c r="Z33" s="504"/>
      <c r="AA33" s="144"/>
      <c r="AB33" s="144"/>
      <c r="AC33" s="144"/>
      <c r="AD33" s="144"/>
    </row>
    <row r="34" spans="1:38" x14ac:dyDescent="0.2">
      <c r="A34" s="88"/>
      <c r="B34" s="292"/>
      <c r="C34" s="124"/>
      <c r="D34" s="124"/>
      <c r="E34" s="124"/>
      <c r="F34" s="123"/>
      <c r="G34" s="320"/>
      <c r="H34" s="321"/>
      <c r="I34" s="322"/>
      <c r="J34" s="322"/>
      <c r="K34" s="322"/>
      <c r="L34" s="322"/>
      <c r="M34" s="322"/>
      <c r="N34" s="322"/>
      <c r="O34" s="322"/>
      <c r="P34" s="322"/>
      <c r="Q34" s="322"/>
      <c r="R34" s="322"/>
      <c r="S34" s="322"/>
      <c r="T34" s="322"/>
      <c r="U34" s="322"/>
      <c r="V34" s="322"/>
      <c r="W34" s="322"/>
      <c r="X34" s="322"/>
      <c r="Y34" s="322"/>
      <c r="Z34" s="504"/>
      <c r="AA34" s="151"/>
      <c r="AB34" s="151"/>
      <c r="AC34" s="151"/>
      <c r="AD34" s="151"/>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504"/>
      <c r="AA35" s="336"/>
      <c r="AB35" s="336"/>
      <c r="AC35" s="336"/>
      <c r="AD35" s="336"/>
    </row>
    <row r="36" spans="1:38" ht="15" customHeight="1" x14ac:dyDescent="0.2">
      <c r="A36" s="88"/>
      <c r="B36" s="305"/>
      <c r="C36" s="124"/>
      <c r="D36" s="124"/>
      <c r="E36" s="124"/>
      <c r="F36" s="123"/>
      <c r="G36" s="543" t="s">
        <v>154</v>
      </c>
      <c r="H36" s="543"/>
      <c r="I36" s="543"/>
      <c r="J36" s="543"/>
      <c r="K36" s="543"/>
      <c r="L36" s="543"/>
      <c r="M36" s="543"/>
      <c r="N36" s="543"/>
      <c r="O36" s="543"/>
      <c r="P36" s="543"/>
      <c r="Q36" s="543"/>
      <c r="R36" s="543"/>
      <c r="S36" s="543"/>
      <c r="T36" s="543"/>
      <c r="U36" s="543"/>
      <c r="V36" s="543"/>
      <c r="W36" s="543"/>
      <c r="X36" s="543"/>
      <c r="Y36" s="543"/>
      <c r="Z36" s="543"/>
      <c r="AA36" s="543"/>
      <c r="AB36" s="543"/>
      <c r="AC36" s="543"/>
      <c r="AD36" s="543"/>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45"/>
      <c r="U37" s="545"/>
      <c r="V37" s="545"/>
      <c r="W37" s="545"/>
      <c r="X37" s="545"/>
      <c r="Y37" s="545"/>
      <c r="Z37" s="545"/>
      <c r="AA37" s="155"/>
      <c r="AB37" s="155"/>
      <c r="AC37" s="155"/>
      <c r="AD37" s="155"/>
      <c r="AF37" s="69"/>
      <c r="AG37" s="69"/>
      <c r="AH37" s="69"/>
      <c r="AI37" s="70"/>
      <c r="AJ37" s="69"/>
      <c r="AK37" s="69"/>
      <c r="AL37" s="69"/>
    </row>
    <row r="38" spans="1:38" ht="15" customHeight="1" x14ac:dyDescent="0.2">
      <c r="A38" s="92"/>
      <c r="B38" s="305"/>
      <c r="C38" s="124"/>
      <c r="D38" s="124"/>
      <c r="E38" s="124"/>
      <c r="F38" s="125"/>
      <c r="G38" s="542" t="s">
        <v>130</v>
      </c>
      <c r="H38" s="542" t="s">
        <v>131</v>
      </c>
      <c r="I38" s="544" t="s">
        <v>121</v>
      </c>
      <c r="J38" s="544"/>
      <c r="K38" s="544"/>
      <c r="L38" s="544"/>
      <c r="M38" s="544"/>
      <c r="N38" s="544"/>
      <c r="O38" s="544"/>
      <c r="P38" s="544"/>
      <c r="Q38" s="544"/>
      <c r="R38" s="150" t="s">
        <v>132</v>
      </c>
      <c r="S38" s="150" t="s">
        <v>132</v>
      </c>
      <c r="T38" s="150" t="s">
        <v>132</v>
      </c>
      <c r="U38" s="150" t="s">
        <v>132</v>
      </c>
      <c r="V38" s="150" t="s">
        <v>132</v>
      </c>
      <c r="W38" s="150" t="s">
        <v>132</v>
      </c>
      <c r="X38" s="150" t="s">
        <v>132</v>
      </c>
      <c r="Y38" s="150" t="s">
        <v>132</v>
      </c>
      <c r="Z38" s="150" t="s">
        <v>132</v>
      </c>
      <c r="AA38" s="150" t="s">
        <v>132</v>
      </c>
      <c r="AB38" s="553" t="s">
        <v>7</v>
      </c>
      <c r="AC38" s="553"/>
      <c r="AD38" s="553"/>
      <c r="AF38" s="69"/>
      <c r="AG38" s="69"/>
      <c r="AH38" s="69"/>
      <c r="AI38" s="70"/>
      <c r="AJ38" s="69"/>
      <c r="AK38" s="69"/>
      <c r="AL38" s="69"/>
    </row>
    <row r="39" spans="1:38" ht="15.75" customHeight="1" x14ac:dyDescent="0.2">
      <c r="A39" s="92"/>
      <c r="B39" s="305"/>
      <c r="C39" s="124"/>
      <c r="D39" s="124"/>
      <c r="E39" s="124"/>
      <c r="F39" s="125"/>
      <c r="G39" s="542"/>
      <c r="H39" s="542"/>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409</v>
      </c>
      <c r="I40" s="323" t="e">
        <f t="shared" ref="I40:Y40" si="9">+I9/I8</f>
        <v>#N/A</v>
      </c>
      <c r="J40" s="323" t="e">
        <f t="shared" si="9"/>
        <v>#N/A</v>
      </c>
      <c r="K40" s="323" t="e">
        <f t="shared" si="9"/>
        <v>#N/A</v>
      </c>
      <c r="L40" s="323" t="e">
        <f t="shared" si="9"/>
        <v>#N/A</v>
      </c>
      <c r="M40" s="323" t="e">
        <f t="shared" si="9"/>
        <v>#N/A</v>
      </c>
      <c r="N40" s="323" t="e">
        <f t="shared" si="9"/>
        <v>#N/A</v>
      </c>
      <c r="O40" s="323" t="e">
        <f t="shared" si="9"/>
        <v>#N/A</v>
      </c>
      <c r="P40" s="323" t="e">
        <f t="shared" si="9"/>
        <v>#N/A</v>
      </c>
      <c r="Q40" s="323" t="e">
        <f t="shared" si="9"/>
        <v>#N/A</v>
      </c>
      <c r="R40" s="323" t="e">
        <f t="shared" si="9"/>
        <v>#N/A</v>
      </c>
      <c r="S40" s="323" t="e">
        <f t="shared" si="9"/>
        <v>#N/A</v>
      </c>
      <c r="T40" s="323">
        <f t="shared" ref="T40" si="10">+T9/T8</f>
        <v>0.4766963146345447</v>
      </c>
      <c r="U40" s="323" t="e">
        <f t="shared" si="9"/>
        <v>#N/A</v>
      </c>
      <c r="V40" s="323" t="e">
        <f t="shared" si="9"/>
        <v>#N/A</v>
      </c>
      <c r="W40" s="323" t="e">
        <f t="shared" si="9"/>
        <v>#N/A</v>
      </c>
      <c r="X40" s="323" t="e">
        <f t="shared" si="9"/>
        <v>#N/A</v>
      </c>
      <c r="Y40" s="323" t="e">
        <f t="shared" si="9"/>
        <v>#N/A</v>
      </c>
      <c r="Z40" s="323">
        <f>+Z9/Z8</f>
        <v>0.50867230402224128</v>
      </c>
      <c r="AA40" s="503">
        <f t="shared" ref="AA40:AD40" si="11">+AA9/AA8</f>
        <v>0.49962652304328825</v>
      </c>
      <c r="AB40" s="145">
        <f t="shared" si="11"/>
        <v>0.50201123461731234</v>
      </c>
      <c r="AC40" s="145">
        <f t="shared" si="11"/>
        <v>0.50275577973940277</v>
      </c>
      <c r="AD40" s="145">
        <f t="shared" si="11"/>
        <v>0.50193321672301205</v>
      </c>
      <c r="AE40" s="197"/>
      <c r="AJ40" s="69"/>
      <c r="AK40" s="69"/>
      <c r="AL40" s="69"/>
    </row>
    <row r="41" spans="1:38" ht="15.75" customHeight="1" x14ac:dyDescent="0.2">
      <c r="A41" s="92"/>
      <c r="B41" s="123"/>
      <c r="C41" s="124"/>
      <c r="D41" s="124"/>
      <c r="E41" s="125"/>
      <c r="F41" s="125"/>
      <c r="G41" s="312" t="s">
        <v>156</v>
      </c>
      <c r="H41" s="313" t="s">
        <v>410</v>
      </c>
      <c r="I41" s="323" t="e">
        <f t="shared" ref="I41:S41" si="12">100%-I40</f>
        <v>#N/A</v>
      </c>
      <c r="J41" s="323" t="e">
        <f t="shared" si="12"/>
        <v>#N/A</v>
      </c>
      <c r="K41" s="323" t="e">
        <f t="shared" si="12"/>
        <v>#N/A</v>
      </c>
      <c r="L41" s="323" t="e">
        <f t="shared" si="12"/>
        <v>#N/A</v>
      </c>
      <c r="M41" s="323" t="e">
        <f t="shared" si="12"/>
        <v>#N/A</v>
      </c>
      <c r="N41" s="323" t="e">
        <f t="shared" si="12"/>
        <v>#N/A</v>
      </c>
      <c r="O41" s="323" t="e">
        <f t="shared" si="12"/>
        <v>#N/A</v>
      </c>
      <c r="P41" s="323" t="e">
        <f t="shared" si="12"/>
        <v>#N/A</v>
      </c>
      <c r="Q41" s="323" t="e">
        <f t="shared" si="12"/>
        <v>#N/A</v>
      </c>
      <c r="R41" s="323" t="e">
        <f t="shared" si="12"/>
        <v>#N/A</v>
      </c>
      <c r="S41" s="323" t="e">
        <f t="shared" si="12"/>
        <v>#N/A</v>
      </c>
      <c r="T41" s="323">
        <f>100%-T40</f>
        <v>0.52330368536545535</v>
      </c>
      <c r="U41" s="323" t="e">
        <f t="shared" ref="U41:Y41" si="13">100%-U40</f>
        <v>#N/A</v>
      </c>
      <c r="V41" s="323" t="e">
        <f t="shared" si="13"/>
        <v>#N/A</v>
      </c>
      <c r="W41" s="323" t="e">
        <f t="shared" si="13"/>
        <v>#N/A</v>
      </c>
      <c r="X41" s="323" t="e">
        <f t="shared" si="13"/>
        <v>#N/A</v>
      </c>
      <c r="Y41" s="323" t="e">
        <f t="shared" si="13"/>
        <v>#N/A</v>
      </c>
      <c r="Z41" s="323">
        <f>100%-Z40</f>
        <v>0.49132769597775872</v>
      </c>
      <c r="AA41" s="145">
        <f>100%-AA40</f>
        <v>0.50037347695671175</v>
      </c>
      <c r="AB41" s="145">
        <f>100%-AB40</f>
        <v>0.49798876538268766</v>
      </c>
      <c r="AC41" s="145">
        <f t="shared" ref="AC41" si="14">100%-AC40</f>
        <v>0.49724422026059723</v>
      </c>
      <c r="AD41" s="145">
        <f>100%-AD40</f>
        <v>0.49806678327698795</v>
      </c>
      <c r="AE41" s="197"/>
      <c r="AJ41" s="69"/>
      <c r="AK41" s="69"/>
      <c r="AL41" s="69"/>
    </row>
    <row r="42" spans="1:38" x14ac:dyDescent="0.2">
      <c r="A42" s="92"/>
      <c r="B42" s="123"/>
      <c r="C42" s="124"/>
      <c r="D42" s="124"/>
      <c r="E42" s="125"/>
      <c r="F42" s="125"/>
      <c r="G42" s="312" t="s">
        <v>157</v>
      </c>
      <c r="H42" s="313" t="s">
        <v>411</v>
      </c>
      <c r="I42" s="324" t="e">
        <f t="shared" ref="I42:Y42" si="15">+I12/I9</f>
        <v>#N/A</v>
      </c>
      <c r="J42" s="324" t="e">
        <f t="shared" si="15"/>
        <v>#N/A</v>
      </c>
      <c r="K42" s="324" t="e">
        <f t="shared" si="15"/>
        <v>#N/A</v>
      </c>
      <c r="L42" s="324" t="e">
        <f t="shared" si="15"/>
        <v>#N/A</v>
      </c>
      <c r="M42" s="324" t="e">
        <f t="shared" si="15"/>
        <v>#N/A</v>
      </c>
      <c r="N42" s="324" t="e">
        <f t="shared" si="15"/>
        <v>#N/A</v>
      </c>
      <c r="O42" s="324" t="e">
        <f t="shared" si="15"/>
        <v>#N/A</v>
      </c>
      <c r="P42" s="324" t="e">
        <f t="shared" si="15"/>
        <v>#N/A</v>
      </c>
      <c r="Q42" s="324" t="e">
        <f t="shared" si="15"/>
        <v>#N/A</v>
      </c>
      <c r="R42" s="324" t="e">
        <f t="shared" si="15"/>
        <v>#N/A</v>
      </c>
      <c r="S42" s="324" t="e">
        <f t="shared" si="15"/>
        <v>#N/A</v>
      </c>
      <c r="T42" s="443">
        <f>+T12/T9</f>
        <v>3.1088016262292538E-2</v>
      </c>
      <c r="U42" s="443" t="e">
        <f t="shared" si="15"/>
        <v>#N/A</v>
      </c>
      <c r="V42" s="443" t="e">
        <f t="shared" si="15"/>
        <v>#N/A</v>
      </c>
      <c r="W42" s="443" t="e">
        <f t="shared" si="15"/>
        <v>#N/A</v>
      </c>
      <c r="X42" s="443" t="e">
        <f t="shared" si="15"/>
        <v>#N/A</v>
      </c>
      <c r="Y42" s="443" t="e">
        <f t="shared" si="15"/>
        <v>#N/A</v>
      </c>
      <c r="Z42" s="444">
        <f>+Z12/Z9</f>
        <v>4.033909830336295E-2</v>
      </c>
      <c r="AA42" s="445">
        <f t="shared" ref="AA42:AD42" si="16">+AA12/AA9</f>
        <v>3.5870519862655791E-2</v>
      </c>
      <c r="AB42" s="445">
        <f t="shared" si="16"/>
        <v>3.8384052024889141E-2</v>
      </c>
      <c r="AC42" s="445">
        <f t="shared" si="16"/>
        <v>3.6065532038253204E-2</v>
      </c>
      <c r="AD42" s="446">
        <f t="shared" si="16"/>
        <v>3.5469714294071163E-2</v>
      </c>
      <c r="AJ42" s="69"/>
      <c r="AK42" s="69"/>
      <c r="AL42" s="69"/>
    </row>
    <row r="43" spans="1:38" x14ac:dyDescent="0.2">
      <c r="A43" s="92"/>
      <c r="B43" s="123"/>
      <c r="C43" s="124"/>
      <c r="D43" s="124"/>
      <c r="E43" s="125"/>
      <c r="F43" s="125"/>
      <c r="G43" s="312" t="s">
        <v>495</v>
      </c>
      <c r="H43" s="313"/>
      <c r="I43" s="324"/>
      <c r="J43" s="324"/>
      <c r="K43" s="324"/>
      <c r="L43" s="324"/>
      <c r="M43" s="324"/>
      <c r="N43" s="324"/>
      <c r="O43" s="324"/>
      <c r="P43" s="324"/>
      <c r="Q43" s="324"/>
      <c r="R43" s="324"/>
      <c r="S43" s="324"/>
      <c r="T43" s="324"/>
      <c r="U43" s="324" t="e">
        <f>U42-T42</f>
        <v>#N/A</v>
      </c>
      <c r="V43" s="324" t="e">
        <f t="shared" ref="V43:Y43" si="17">V42-U42</f>
        <v>#N/A</v>
      </c>
      <c r="W43" s="324" t="e">
        <f t="shared" si="17"/>
        <v>#N/A</v>
      </c>
      <c r="X43" s="324" t="e">
        <f t="shared" si="17"/>
        <v>#N/A</v>
      </c>
      <c r="Y43" s="324" t="e">
        <f t="shared" si="17"/>
        <v>#N/A</v>
      </c>
      <c r="Z43" s="324"/>
      <c r="AA43" s="145"/>
      <c r="AB43" s="145"/>
      <c r="AC43" s="145"/>
      <c r="AD43" s="145"/>
      <c r="AJ43" s="69"/>
      <c r="AK43" s="69"/>
      <c r="AL43" s="69"/>
    </row>
    <row r="44" spans="1:38" x14ac:dyDescent="0.2">
      <c r="B44" s="123"/>
      <c r="C44" s="310"/>
      <c r="D44" s="124"/>
      <c r="E44" s="125"/>
      <c r="F44" s="125"/>
      <c r="G44" s="325" t="s">
        <v>158</v>
      </c>
      <c r="H44" s="326" t="s">
        <v>412</v>
      </c>
      <c r="I44" s="324" t="e">
        <f t="shared" ref="I44:Y44" si="18">+I11/I8</f>
        <v>#N/A</v>
      </c>
      <c r="J44" s="324" t="e">
        <f t="shared" si="18"/>
        <v>#N/A</v>
      </c>
      <c r="K44" s="324" t="e">
        <f t="shared" si="18"/>
        <v>#N/A</v>
      </c>
      <c r="L44" s="324" t="e">
        <f t="shared" si="18"/>
        <v>#N/A</v>
      </c>
      <c r="M44" s="324" t="e">
        <f t="shared" si="18"/>
        <v>#N/A</v>
      </c>
      <c r="N44" s="324" t="e">
        <f t="shared" si="18"/>
        <v>#N/A</v>
      </c>
      <c r="O44" s="324" t="e">
        <f t="shared" si="18"/>
        <v>#N/A</v>
      </c>
      <c r="P44" s="324" t="e">
        <f t="shared" si="18"/>
        <v>#N/A</v>
      </c>
      <c r="Q44" s="324" t="e">
        <f t="shared" si="18"/>
        <v>#N/A</v>
      </c>
      <c r="R44" s="324" t="e">
        <f t="shared" si="18"/>
        <v>#N/A</v>
      </c>
      <c r="S44" s="324" t="e">
        <f t="shared" si="18"/>
        <v>#N/A</v>
      </c>
      <c r="T44" s="324">
        <f>+T11/T8</f>
        <v>0.46187677185301107</v>
      </c>
      <c r="U44" s="324" t="e">
        <f t="shared" si="18"/>
        <v>#N/A</v>
      </c>
      <c r="V44" s="324" t="e">
        <f t="shared" si="18"/>
        <v>#N/A</v>
      </c>
      <c r="W44" s="324" t="e">
        <f t="shared" si="18"/>
        <v>#N/A</v>
      </c>
      <c r="X44" s="324" t="e">
        <f t="shared" si="18"/>
        <v>#N/A</v>
      </c>
      <c r="Y44" s="324" t="e">
        <f t="shared" si="18"/>
        <v>#N/A</v>
      </c>
      <c r="Z44" s="324">
        <f>+Z11/Z8</f>
        <v>0.48815292194609</v>
      </c>
      <c r="AA44" s="145">
        <f t="shared" ref="AA44:AD44" si="19">+AA11/AA8</f>
        <v>0.4817046599245543</v>
      </c>
      <c r="AB44" s="145">
        <f t="shared" si="19"/>
        <v>0.48274200927068261</v>
      </c>
      <c r="AC44" s="145">
        <f t="shared" si="19"/>
        <v>0.48462362505779438</v>
      </c>
      <c r="AD44" s="145">
        <f t="shared" si="19"/>
        <v>0.48412978893114272</v>
      </c>
      <c r="AJ44" s="69"/>
      <c r="AK44" s="69"/>
      <c r="AL44" s="69"/>
    </row>
    <row r="45" spans="1:38" x14ac:dyDescent="0.2">
      <c r="B45" s="123"/>
      <c r="C45" s="310"/>
      <c r="D45" s="124"/>
      <c r="E45" s="125"/>
      <c r="F45" s="125"/>
      <c r="G45" s="319" t="s">
        <v>29</v>
      </c>
      <c r="H45" s="313" t="s">
        <v>413</v>
      </c>
      <c r="I45" s="324" t="e">
        <f t="shared" ref="I45:Y45" si="20">+I14/I11</f>
        <v>#N/A</v>
      </c>
      <c r="J45" s="324" t="e">
        <f t="shared" si="20"/>
        <v>#N/A</v>
      </c>
      <c r="K45" s="324" t="e">
        <f t="shared" si="20"/>
        <v>#N/A</v>
      </c>
      <c r="L45" s="324" t="e">
        <f t="shared" si="20"/>
        <v>#N/A</v>
      </c>
      <c r="M45" s="324" t="e">
        <f t="shared" si="20"/>
        <v>#N/A</v>
      </c>
      <c r="N45" s="324" t="e">
        <f t="shared" si="20"/>
        <v>#N/A</v>
      </c>
      <c r="O45" s="324" t="e">
        <f t="shared" si="20"/>
        <v>#N/A</v>
      </c>
      <c r="P45" s="324" t="e">
        <f t="shared" si="20"/>
        <v>#N/A</v>
      </c>
      <c r="Q45" s="324" t="e">
        <f t="shared" si="20"/>
        <v>#N/A</v>
      </c>
      <c r="R45" s="324" t="e">
        <f t="shared" si="20"/>
        <v>#N/A</v>
      </c>
      <c r="S45" s="324" t="e">
        <f t="shared" si="20"/>
        <v>#N/A</v>
      </c>
      <c r="T45" s="324">
        <f>+T14/T11</f>
        <v>0.33115614189508352</v>
      </c>
      <c r="U45" s="324" t="e">
        <f t="shared" si="20"/>
        <v>#N/A</v>
      </c>
      <c r="V45" s="324" t="e">
        <f t="shared" si="20"/>
        <v>#N/A</v>
      </c>
      <c r="W45" s="324" t="e">
        <f t="shared" si="20"/>
        <v>#N/A</v>
      </c>
      <c r="X45" s="324" t="e">
        <f t="shared" si="20"/>
        <v>#N/A</v>
      </c>
      <c r="Y45" s="324" t="e">
        <f t="shared" si="20"/>
        <v>#N/A</v>
      </c>
      <c r="Z45" s="324">
        <f>+Z14/Z11</f>
        <v>0.31789457900001145</v>
      </c>
      <c r="AA45" s="145">
        <f t="shared" ref="AA45:AD45" si="21">+AA14/AA11</f>
        <v>0.30895550536468624</v>
      </c>
      <c r="AB45" s="145">
        <f t="shared" si="21"/>
        <v>0.30827472476152601</v>
      </c>
      <c r="AC45" s="145">
        <f t="shared" si="21"/>
        <v>0.30634098021908013</v>
      </c>
      <c r="AD45" s="145">
        <f t="shared" si="21"/>
        <v>0.3050573219369529</v>
      </c>
      <c r="AJ45" s="69"/>
      <c r="AK45" s="69"/>
      <c r="AL45" s="69"/>
    </row>
    <row r="46" spans="1:38" x14ac:dyDescent="0.2">
      <c r="B46" s="123"/>
      <c r="C46" s="310"/>
      <c r="D46" s="124"/>
      <c r="E46" s="125"/>
      <c r="F46" s="125"/>
      <c r="G46" s="319" t="s">
        <v>31</v>
      </c>
      <c r="H46" s="313" t="s">
        <v>414</v>
      </c>
      <c r="I46" s="324" t="e">
        <f t="shared" ref="I46:Y46" si="22">+I16/I11</f>
        <v>#N/A</v>
      </c>
      <c r="J46" s="324" t="e">
        <f t="shared" si="22"/>
        <v>#N/A</v>
      </c>
      <c r="K46" s="324" t="e">
        <f t="shared" si="22"/>
        <v>#N/A</v>
      </c>
      <c r="L46" s="324" t="e">
        <f t="shared" si="22"/>
        <v>#N/A</v>
      </c>
      <c r="M46" s="324" t="e">
        <f t="shared" si="22"/>
        <v>#N/A</v>
      </c>
      <c r="N46" s="324" t="e">
        <f t="shared" si="22"/>
        <v>#N/A</v>
      </c>
      <c r="O46" s="324" t="e">
        <f t="shared" si="22"/>
        <v>#N/A</v>
      </c>
      <c r="P46" s="324" t="e">
        <f t="shared" si="22"/>
        <v>#N/A</v>
      </c>
      <c r="Q46" s="324" t="e">
        <f t="shared" si="22"/>
        <v>#N/A</v>
      </c>
      <c r="R46" s="324" t="e">
        <f t="shared" si="22"/>
        <v>#N/A</v>
      </c>
      <c r="S46" s="324" t="e">
        <f t="shared" si="22"/>
        <v>#N/A</v>
      </c>
      <c r="T46" s="324">
        <f>+T15/T11</f>
        <v>0.25348817491482922</v>
      </c>
      <c r="U46" s="324" t="e">
        <f t="shared" si="22"/>
        <v>#N/A</v>
      </c>
      <c r="V46" s="324" t="e">
        <f t="shared" si="22"/>
        <v>#N/A</v>
      </c>
      <c r="W46" s="324" t="e">
        <f t="shared" si="22"/>
        <v>#N/A</v>
      </c>
      <c r="X46" s="324" t="e">
        <f t="shared" si="22"/>
        <v>#N/A</v>
      </c>
      <c r="Y46" s="324" t="e">
        <f t="shared" si="22"/>
        <v>#N/A</v>
      </c>
      <c r="Z46" s="324">
        <f>+Z15/Z11</f>
        <v>0.27850790438371348</v>
      </c>
      <c r="AA46" s="145">
        <f t="shared" ref="AA46:AD46" si="23">+AA15/AA11</f>
        <v>0.28096722258895102</v>
      </c>
      <c r="AB46" s="145">
        <f t="shared" si="23"/>
        <v>0.27838905624790999</v>
      </c>
      <c r="AC46" s="145">
        <f t="shared" si="23"/>
        <v>0.28063897123720755</v>
      </c>
      <c r="AD46" s="145">
        <f t="shared" si="23"/>
        <v>0.28352145741383283</v>
      </c>
      <c r="AJ46" s="69"/>
      <c r="AK46" s="69"/>
      <c r="AL46" s="69"/>
    </row>
    <row r="47" spans="1:38" x14ac:dyDescent="0.2">
      <c r="B47" s="123"/>
      <c r="C47" s="310"/>
      <c r="D47" s="124"/>
      <c r="E47" s="125"/>
      <c r="F47" s="125"/>
      <c r="G47" s="319" t="s">
        <v>33</v>
      </c>
      <c r="H47" s="313" t="s">
        <v>415</v>
      </c>
      <c r="I47" s="324" t="e">
        <f t="shared" ref="I47:Y47" si="24">+I17/I11</f>
        <v>#N/A</v>
      </c>
      <c r="J47" s="324" t="e">
        <f t="shared" si="24"/>
        <v>#N/A</v>
      </c>
      <c r="K47" s="324" t="e">
        <f t="shared" si="24"/>
        <v>#N/A</v>
      </c>
      <c r="L47" s="324" t="e">
        <f t="shared" si="24"/>
        <v>#N/A</v>
      </c>
      <c r="M47" s="324" t="e">
        <f t="shared" si="24"/>
        <v>#N/A</v>
      </c>
      <c r="N47" s="324" t="e">
        <f t="shared" si="24"/>
        <v>#N/A</v>
      </c>
      <c r="O47" s="324" t="e">
        <f t="shared" si="24"/>
        <v>#N/A</v>
      </c>
      <c r="P47" s="324" t="e">
        <f t="shared" si="24"/>
        <v>#N/A</v>
      </c>
      <c r="Q47" s="324" t="e">
        <f t="shared" si="24"/>
        <v>#N/A</v>
      </c>
      <c r="R47" s="324" t="e">
        <f t="shared" si="24"/>
        <v>#N/A</v>
      </c>
      <c r="S47" s="324" t="e">
        <f t="shared" si="24"/>
        <v>#N/A</v>
      </c>
      <c r="T47" s="324">
        <f>+T18/T11</f>
        <v>0.41535568319008725</v>
      </c>
      <c r="U47" s="324" t="e">
        <f t="shared" si="24"/>
        <v>#N/A</v>
      </c>
      <c r="V47" s="324" t="e">
        <f t="shared" si="24"/>
        <v>#N/A</v>
      </c>
      <c r="W47" s="324" t="e">
        <f t="shared" si="24"/>
        <v>#N/A</v>
      </c>
      <c r="X47" s="324" t="e">
        <f t="shared" si="24"/>
        <v>#N/A</v>
      </c>
      <c r="Y47" s="324" t="e">
        <f t="shared" si="24"/>
        <v>#N/A</v>
      </c>
      <c r="Z47" s="324">
        <f>+Z18/Z11</f>
        <v>0.40359751661627513</v>
      </c>
      <c r="AA47" s="145">
        <f t="shared" ref="AA47:AD47" si="25">+AA18/AA11</f>
        <v>0.4100772720463628</v>
      </c>
      <c r="AB47" s="145">
        <f t="shared" si="25"/>
        <v>0.413336218990564</v>
      </c>
      <c r="AC47" s="145">
        <f t="shared" si="25"/>
        <v>0.41302004854371233</v>
      </c>
      <c r="AD47" s="145">
        <f t="shared" si="25"/>
        <v>0.41142122064921433</v>
      </c>
      <c r="AJ47" s="69"/>
      <c r="AK47" s="69"/>
      <c r="AL47" s="69"/>
    </row>
    <row r="48" spans="1:38" ht="14.25" customHeight="1" x14ac:dyDescent="0.2">
      <c r="B48" s="123"/>
      <c r="C48" s="124"/>
      <c r="D48" s="124"/>
      <c r="E48" s="125"/>
      <c r="F48" s="125"/>
      <c r="G48" s="319"/>
      <c r="H48" s="313"/>
      <c r="I48" s="324"/>
      <c r="J48" s="324"/>
      <c r="K48" s="324"/>
      <c r="L48" s="324"/>
      <c r="M48" s="324"/>
      <c r="N48" s="324"/>
      <c r="O48" s="324"/>
      <c r="P48" s="324"/>
      <c r="Q48" s="324"/>
      <c r="R48" s="324"/>
      <c r="S48" s="324"/>
      <c r="T48" s="324"/>
      <c r="U48" s="324"/>
      <c r="V48" s="324"/>
      <c r="W48" s="324"/>
      <c r="X48" s="324"/>
      <c r="Y48" s="324"/>
      <c r="Z48" s="324"/>
      <c r="AA48" s="145"/>
      <c r="AB48" s="145"/>
      <c r="AC48" s="145"/>
      <c r="AD48" s="145"/>
      <c r="AJ48" s="69"/>
      <c r="AK48" s="69"/>
      <c r="AL48" s="69"/>
    </row>
    <row r="49" spans="2:38" ht="15" customHeight="1" x14ac:dyDescent="0.2">
      <c r="B49" s="123"/>
      <c r="C49" s="124"/>
      <c r="D49" s="124"/>
      <c r="E49" s="125"/>
      <c r="F49" s="125"/>
      <c r="G49" s="319"/>
      <c r="H49" s="313"/>
      <c r="I49" s="324"/>
      <c r="J49" s="324"/>
      <c r="K49" s="324"/>
      <c r="L49" s="324"/>
      <c r="M49" s="324"/>
      <c r="N49" s="324"/>
      <c r="O49" s="324"/>
      <c r="P49" s="324"/>
      <c r="Q49" s="324"/>
      <c r="R49" s="324"/>
      <c r="S49" s="324"/>
      <c r="T49" s="324"/>
      <c r="U49" s="324"/>
      <c r="V49" s="324"/>
      <c r="W49" s="324"/>
      <c r="X49" s="324"/>
      <c r="Y49" s="324"/>
      <c r="Z49" s="324"/>
      <c r="AA49" s="145"/>
      <c r="AB49" s="145"/>
      <c r="AC49" s="145"/>
      <c r="AD49" s="145"/>
      <c r="AJ49" s="69"/>
      <c r="AK49" s="69"/>
      <c r="AL49" s="69"/>
    </row>
    <row r="50" spans="2:38" ht="15" customHeight="1" x14ac:dyDescent="0.2">
      <c r="B50" s="123"/>
      <c r="C50" s="124"/>
      <c r="D50" s="124"/>
      <c r="E50" s="125"/>
      <c r="F50" s="125"/>
      <c r="G50" s="319"/>
      <c r="H50" s="313"/>
      <c r="I50" s="323"/>
      <c r="J50" s="323"/>
      <c r="K50" s="323"/>
      <c r="L50" s="323"/>
      <c r="M50" s="323"/>
      <c r="N50" s="323"/>
      <c r="O50" s="323"/>
      <c r="P50" s="323"/>
      <c r="Q50" s="323"/>
      <c r="R50" s="323"/>
      <c r="S50" s="323"/>
      <c r="T50" s="323"/>
      <c r="U50" s="323"/>
      <c r="V50" s="323"/>
      <c r="W50" s="323"/>
      <c r="X50" s="323"/>
      <c r="Y50" s="323"/>
      <c r="Z50" s="323"/>
      <c r="AA50" s="145"/>
      <c r="AB50" s="145"/>
      <c r="AC50" s="145"/>
      <c r="AD50" s="145"/>
      <c r="AJ50" s="69"/>
      <c r="AK50" s="69"/>
      <c r="AL50" s="69"/>
    </row>
    <row r="51" spans="2:38" ht="15" customHeight="1" x14ac:dyDescent="0.2">
      <c r="B51" s="123"/>
      <c r="C51" s="124"/>
      <c r="D51" s="124"/>
      <c r="E51" s="125"/>
      <c r="F51" s="125"/>
      <c r="G51" s="312" t="s">
        <v>401</v>
      </c>
      <c r="H51" s="313" t="s">
        <v>416</v>
      </c>
      <c r="I51" s="323" t="e">
        <f t="shared" ref="I51:Y51" si="26">+SUM(I23,I25,I27,I29,I31,I33)/I11</f>
        <v>#N/A</v>
      </c>
      <c r="J51" s="323" t="e">
        <f t="shared" si="26"/>
        <v>#N/A</v>
      </c>
      <c r="K51" s="323" t="e">
        <f t="shared" si="26"/>
        <v>#N/A</v>
      </c>
      <c r="L51" s="323" t="e">
        <f t="shared" si="26"/>
        <v>#N/A</v>
      </c>
      <c r="M51" s="323" t="e">
        <f t="shared" si="26"/>
        <v>#N/A</v>
      </c>
      <c r="N51" s="323" t="e">
        <f t="shared" si="26"/>
        <v>#N/A</v>
      </c>
      <c r="O51" s="323" t="e">
        <f t="shared" si="26"/>
        <v>#N/A</v>
      </c>
      <c r="P51" s="323" t="e">
        <f t="shared" si="26"/>
        <v>#N/A</v>
      </c>
      <c r="Q51" s="323" t="e">
        <f t="shared" si="26"/>
        <v>#N/A</v>
      </c>
      <c r="R51" s="323" t="e">
        <f t="shared" si="26"/>
        <v>#N/A</v>
      </c>
      <c r="S51" s="323" t="e">
        <f t="shared" si="26"/>
        <v>#N/A</v>
      </c>
      <c r="T51" s="323">
        <f>+SUM(T23,T25,T27)/T11</f>
        <v>0.51655254654868499</v>
      </c>
      <c r="U51" s="323" t="e">
        <f t="shared" si="26"/>
        <v>#N/A</v>
      </c>
      <c r="V51" s="323" t="e">
        <f t="shared" si="26"/>
        <v>#N/A</v>
      </c>
      <c r="W51" s="323" t="e">
        <f t="shared" si="26"/>
        <v>#N/A</v>
      </c>
      <c r="X51" s="323" t="e">
        <f t="shared" si="26"/>
        <v>#N/A</v>
      </c>
      <c r="Y51" s="323" t="e">
        <f t="shared" si="26"/>
        <v>#N/A</v>
      </c>
      <c r="Z51" s="327">
        <f>+SUM(Z23,Z25,Z27)/Z11</f>
        <v>0.44745453443400779</v>
      </c>
      <c r="AA51" s="145">
        <f t="shared" ref="AA51:AD51" si="27">+SUM(AA23,AA25,AA27)/AA11</f>
        <v>0.45102844802444858</v>
      </c>
      <c r="AB51" s="145">
        <f t="shared" si="27"/>
        <v>0.45120498095748413</v>
      </c>
      <c r="AC51" s="145">
        <f t="shared" si="27"/>
        <v>0.45165059304586513</v>
      </c>
      <c r="AD51" s="145">
        <f t="shared" si="27"/>
        <v>0.45251428328557547</v>
      </c>
      <c r="AJ51" s="69"/>
      <c r="AK51" s="69"/>
      <c r="AL51" s="69"/>
    </row>
    <row r="52" spans="2:38" x14ac:dyDescent="0.2">
      <c r="B52" s="123"/>
      <c r="C52" s="124"/>
      <c r="D52" s="124"/>
      <c r="E52" s="125"/>
      <c r="F52" s="125"/>
      <c r="G52" s="319" t="s">
        <v>29</v>
      </c>
      <c r="H52" s="313" t="s">
        <v>417</v>
      </c>
      <c r="I52" s="328" t="e">
        <f t="shared" ref="I52:Y52" si="28">+I23/I14</f>
        <v>#N/A</v>
      </c>
      <c r="J52" s="328" t="e">
        <f t="shared" si="28"/>
        <v>#N/A</v>
      </c>
      <c r="K52" s="328" t="e">
        <f t="shared" si="28"/>
        <v>#N/A</v>
      </c>
      <c r="L52" s="328" t="e">
        <f t="shared" si="28"/>
        <v>#N/A</v>
      </c>
      <c r="M52" s="328" t="e">
        <f t="shared" si="28"/>
        <v>#N/A</v>
      </c>
      <c r="N52" s="328" t="e">
        <f t="shared" si="28"/>
        <v>#N/A</v>
      </c>
      <c r="O52" s="328" t="e">
        <f t="shared" si="28"/>
        <v>#N/A</v>
      </c>
      <c r="P52" s="328" t="e">
        <f t="shared" si="28"/>
        <v>#N/A</v>
      </c>
      <c r="Q52" s="328" t="e">
        <f t="shared" si="28"/>
        <v>#N/A</v>
      </c>
      <c r="R52" s="328" t="e">
        <f t="shared" si="28"/>
        <v>#N/A</v>
      </c>
      <c r="S52" s="328" t="e">
        <f t="shared" si="28"/>
        <v>#N/A</v>
      </c>
      <c r="T52" s="328">
        <f>+T23/T14</f>
        <v>0.13001054097102796</v>
      </c>
      <c r="U52" s="328" t="e">
        <f t="shared" si="28"/>
        <v>#N/A</v>
      </c>
      <c r="V52" s="328" t="e">
        <f t="shared" si="28"/>
        <v>#N/A</v>
      </c>
      <c r="W52" s="328" t="e">
        <f t="shared" si="28"/>
        <v>#N/A</v>
      </c>
      <c r="X52" s="328" t="e">
        <f t="shared" si="28"/>
        <v>#N/A</v>
      </c>
      <c r="Y52" s="328" t="e">
        <f t="shared" si="28"/>
        <v>#N/A</v>
      </c>
      <c r="Z52" s="328">
        <f>+Z23/Z14</f>
        <v>0.14124599377941852</v>
      </c>
      <c r="AA52" s="145">
        <f t="shared" ref="AA52:AD52" si="29">+AA23/AA14</f>
        <v>0.14124599377941852</v>
      </c>
      <c r="AB52" s="145">
        <f t="shared" si="29"/>
        <v>0.14149663342021968</v>
      </c>
      <c r="AC52" s="145">
        <f t="shared" si="29"/>
        <v>0.1416933909257044</v>
      </c>
      <c r="AD52" s="145">
        <f t="shared" si="29"/>
        <v>0.14188638938171713</v>
      </c>
      <c r="AJ52" s="69"/>
      <c r="AK52" s="69"/>
      <c r="AL52" s="69"/>
    </row>
    <row r="53" spans="2:38" x14ac:dyDescent="0.2">
      <c r="B53" s="123"/>
      <c r="C53" s="124"/>
      <c r="D53" s="124"/>
      <c r="E53" s="125"/>
      <c r="F53" s="125"/>
      <c r="G53" s="319" t="s">
        <v>31</v>
      </c>
      <c r="H53" s="313" t="s">
        <v>418</v>
      </c>
      <c r="I53" s="328" t="e">
        <f t="shared" ref="I53:Y53" si="30">+I25/I16</f>
        <v>#N/A</v>
      </c>
      <c r="J53" s="328" t="e">
        <f t="shared" si="30"/>
        <v>#N/A</v>
      </c>
      <c r="K53" s="328" t="e">
        <f t="shared" si="30"/>
        <v>#N/A</v>
      </c>
      <c r="L53" s="328" t="e">
        <f t="shared" si="30"/>
        <v>#N/A</v>
      </c>
      <c r="M53" s="328" t="e">
        <f t="shared" si="30"/>
        <v>#N/A</v>
      </c>
      <c r="N53" s="328" t="e">
        <f t="shared" si="30"/>
        <v>#N/A</v>
      </c>
      <c r="O53" s="328" t="e">
        <f t="shared" si="30"/>
        <v>#N/A</v>
      </c>
      <c r="P53" s="328" t="e">
        <f t="shared" si="30"/>
        <v>#N/A</v>
      </c>
      <c r="Q53" s="328" t="e">
        <f t="shared" si="30"/>
        <v>#N/A</v>
      </c>
      <c r="R53" s="328" t="e">
        <f t="shared" si="30"/>
        <v>#N/A</v>
      </c>
      <c r="S53" s="328" t="e">
        <f t="shared" si="30"/>
        <v>#N/A</v>
      </c>
      <c r="T53" s="328">
        <f>+T25/T15</f>
        <v>0.76604144548520792</v>
      </c>
      <c r="U53" s="328" t="e">
        <f t="shared" si="30"/>
        <v>#N/A</v>
      </c>
      <c r="V53" s="328" t="e">
        <f t="shared" si="30"/>
        <v>#N/A</v>
      </c>
      <c r="W53" s="328" t="e">
        <f t="shared" si="30"/>
        <v>#N/A</v>
      </c>
      <c r="X53" s="328" t="e">
        <f t="shared" si="30"/>
        <v>#N/A</v>
      </c>
      <c r="Y53" s="328" t="e">
        <f t="shared" si="30"/>
        <v>#N/A</v>
      </c>
      <c r="Z53" s="328">
        <f>+Z25/Z15</f>
        <v>0.62534956477402381</v>
      </c>
      <c r="AA53" s="145">
        <f t="shared" ref="AA53:AD53" si="31">+AA25/AA15</f>
        <v>0.61936815072148166</v>
      </c>
      <c r="AB53" s="145">
        <f t="shared" si="31"/>
        <v>0.61863880621185896</v>
      </c>
      <c r="AC53" s="145">
        <f t="shared" si="31"/>
        <v>0.61632270150537205</v>
      </c>
      <c r="AD53" s="145">
        <f t="shared" si="31"/>
        <v>0.61632270150537205</v>
      </c>
      <c r="AJ53" s="69"/>
      <c r="AK53" s="69"/>
      <c r="AL53" s="69"/>
    </row>
    <row r="54" spans="2:38" x14ac:dyDescent="0.2">
      <c r="B54" s="123"/>
      <c r="C54" s="124"/>
      <c r="D54" s="124"/>
      <c r="E54" s="125"/>
      <c r="F54" s="125"/>
      <c r="G54" s="319" t="s">
        <v>33</v>
      </c>
      <c r="H54" s="313" t="s">
        <v>419</v>
      </c>
      <c r="I54" s="328" t="e">
        <f t="shared" ref="I54:Y54" si="32">+I27/I17</f>
        <v>#N/A</v>
      </c>
      <c r="J54" s="328" t="e">
        <f t="shared" si="32"/>
        <v>#N/A</v>
      </c>
      <c r="K54" s="328" t="e">
        <f t="shared" si="32"/>
        <v>#N/A</v>
      </c>
      <c r="L54" s="328" t="e">
        <f t="shared" si="32"/>
        <v>#N/A</v>
      </c>
      <c r="M54" s="328" t="e">
        <f t="shared" si="32"/>
        <v>#N/A</v>
      </c>
      <c r="N54" s="328" t="e">
        <f t="shared" si="32"/>
        <v>#N/A</v>
      </c>
      <c r="O54" s="328" t="e">
        <f t="shared" si="32"/>
        <v>#N/A</v>
      </c>
      <c r="P54" s="328" t="e">
        <f t="shared" si="32"/>
        <v>#N/A</v>
      </c>
      <c r="Q54" s="328" t="e">
        <f t="shared" si="32"/>
        <v>#N/A</v>
      </c>
      <c r="R54" s="328" t="e">
        <f t="shared" si="32"/>
        <v>#N/A</v>
      </c>
      <c r="S54" s="328" t="e">
        <f t="shared" si="32"/>
        <v>#N/A</v>
      </c>
      <c r="T54" s="328">
        <f>+T27/T18</f>
        <v>0.67247499137271882</v>
      </c>
      <c r="U54" s="328" t="e">
        <f t="shared" si="32"/>
        <v>#N/A</v>
      </c>
      <c r="V54" s="328" t="e">
        <f t="shared" si="32"/>
        <v>#N/A</v>
      </c>
      <c r="W54" s="328" t="e">
        <f t="shared" si="32"/>
        <v>#N/A</v>
      </c>
      <c r="X54" s="328" t="e">
        <f t="shared" si="32"/>
        <v>#N/A</v>
      </c>
      <c r="Y54" s="328" t="e">
        <f t="shared" si="32"/>
        <v>#N/A</v>
      </c>
      <c r="Z54" s="328">
        <f>+Z27/Z18</f>
        <v>0.56588158378269582</v>
      </c>
      <c r="AA54" s="145">
        <f t="shared" ref="AA54:AD54" si="33">+AA27/AA18</f>
        <v>0.56908194497776809</v>
      </c>
      <c r="AB54" s="145">
        <f t="shared" si="33"/>
        <v>0.56942232739808185</v>
      </c>
      <c r="AC54" s="145">
        <f t="shared" si="33"/>
        <v>0.56965741180870133</v>
      </c>
      <c r="AD54" s="145">
        <f t="shared" si="33"/>
        <v>0.56995137582701927</v>
      </c>
      <c r="AJ54" s="69"/>
      <c r="AK54" s="69"/>
      <c r="AL54" s="69"/>
    </row>
    <row r="55" spans="2:38" x14ac:dyDescent="0.2">
      <c r="B55" s="123"/>
      <c r="C55" s="124"/>
      <c r="D55" s="124"/>
      <c r="E55" s="125"/>
      <c r="F55" s="125"/>
      <c r="G55" s="319"/>
      <c r="H55" s="313"/>
      <c r="I55" s="328"/>
      <c r="J55" s="328"/>
      <c r="K55" s="328"/>
      <c r="L55" s="328"/>
      <c r="M55" s="328"/>
      <c r="N55" s="328"/>
      <c r="O55" s="328"/>
      <c r="P55" s="328"/>
      <c r="Q55" s="328"/>
      <c r="R55" s="328"/>
      <c r="S55" s="328"/>
      <c r="T55" s="328"/>
      <c r="U55" s="328"/>
      <c r="V55" s="328"/>
      <c r="W55" s="328"/>
      <c r="X55" s="328"/>
      <c r="Y55" s="328"/>
      <c r="Z55" s="328"/>
      <c r="AA55" s="145"/>
      <c r="AB55" s="145"/>
      <c r="AC55" s="145"/>
      <c r="AD55" s="145"/>
      <c r="AJ55" s="69"/>
      <c r="AK55" s="69"/>
      <c r="AL55" s="69"/>
    </row>
    <row r="56" spans="2:38" x14ac:dyDescent="0.2">
      <c r="B56" s="123"/>
      <c r="C56" s="124"/>
      <c r="D56" s="124"/>
      <c r="E56" s="125"/>
      <c r="F56" s="125"/>
      <c r="G56" s="319"/>
      <c r="H56" s="313"/>
      <c r="I56" s="328"/>
      <c r="J56" s="328"/>
      <c r="K56" s="328"/>
      <c r="L56" s="328"/>
      <c r="M56" s="328"/>
      <c r="N56" s="328"/>
      <c r="O56" s="328"/>
      <c r="P56" s="328"/>
      <c r="Q56" s="328"/>
      <c r="R56" s="328"/>
      <c r="S56" s="328"/>
      <c r="T56" s="328"/>
      <c r="U56" s="328"/>
      <c r="V56" s="328"/>
      <c r="W56" s="328"/>
      <c r="X56" s="328"/>
      <c r="Y56" s="328"/>
      <c r="Z56" s="328"/>
      <c r="AA56" s="145"/>
      <c r="AB56" s="145"/>
      <c r="AC56" s="145"/>
      <c r="AD56" s="145"/>
      <c r="AJ56" s="69"/>
      <c r="AK56" s="69"/>
      <c r="AL56" s="69"/>
    </row>
    <row r="57" spans="2:38" x14ac:dyDescent="0.2">
      <c r="B57" s="123"/>
      <c r="C57" s="124"/>
      <c r="D57" s="124"/>
      <c r="E57" s="125"/>
      <c r="F57" s="125"/>
      <c r="G57" s="320"/>
      <c r="H57" s="329"/>
      <c r="I57" s="330"/>
      <c r="J57" s="330"/>
      <c r="K57" s="330"/>
      <c r="L57" s="330"/>
      <c r="M57" s="330"/>
      <c r="N57" s="330"/>
      <c r="O57" s="330"/>
      <c r="P57" s="330"/>
      <c r="Q57" s="330"/>
      <c r="R57" s="330"/>
      <c r="S57" s="330"/>
      <c r="T57" s="330"/>
      <c r="U57" s="330"/>
      <c r="V57" s="330"/>
      <c r="W57" s="330"/>
      <c r="X57" s="330"/>
      <c r="Y57" s="330"/>
      <c r="Z57" s="330"/>
      <c r="AA57" s="149"/>
      <c r="AB57" s="149"/>
      <c r="AC57" s="149"/>
      <c r="AD57" s="149"/>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49" t="s">
        <v>160</v>
      </c>
      <c r="AB58" s="549"/>
      <c r="AC58" s="549"/>
      <c r="AD58" s="549"/>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52" t="s">
        <v>163</v>
      </c>
      <c r="AC60" s="552"/>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381</v>
      </c>
      <c r="AD61" s="153" t="s">
        <v>382</v>
      </c>
      <c r="AF61" s="69"/>
      <c r="AG61" s="69"/>
      <c r="AH61" s="69"/>
      <c r="AI61" s="70"/>
      <c r="AJ61" s="69"/>
      <c r="AK61" s="69"/>
      <c r="AL61" s="69"/>
    </row>
    <row r="62" spans="2:38" ht="15" customHeight="1" x14ac:dyDescent="0.2">
      <c r="B62" s="123"/>
      <c r="C62" s="124"/>
      <c r="D62" s="124"/>
      <c r="E62" s="125"/>
      <c r="F62" s="125"/>
      <c r="G62" s="551" t="s">
        <v>167</v>
      </c>
      <c r="H62" s="551"/>
      <c r="I62" s="551"/>
      <c r="J62" s="551"/>
      <c r="K62" s="551"/>
      <c r="L62" s="193"/>
      <c r="M62" s="193"/>
      <c r="N62" s="193"/>
      <c r="O62" s="125"/>
      <c r="P62" s="125"/>
      <c r="Q62" s="125"/>
      <c r="R62" s="125"/>
      <c r="S62" s="125"/>
      <c r="T62" s="125"/>
      <c r="U62" s="125"/>
      <c r="V62" s="125"/>
      <c r="W62" s="125"/>
      <c r="X62" s="125"/>
      <c r="Y62" s="125"/>
      <c r="Z62" s="125"/>
      <c r="AA62" s="306" t="s">
        <v>168</v>
      </c>
      <c r="AB62" s="333" t="e">
        <f>AVERAGE(T40:W40)</f>
        <v>#N/A</v>
      </c>
      <c r="AC62" s="307" t="e">
        <f>AVERAGE(X40:AA40)</f>
        <v>#N/A</v>
      </c>
      <c r="AD62" s="146">
        <f>AVERAGE(AB40:AD40)</f>
        <v>0.50223341035990909</v>
      </c>
      <c r="AF62" s="69"/>
      <c r="AG62" s="69"/>
      <c r="AH62" s="69"/>
      <c r="AI62" s="70"/>
      <c r="AJ62" s="69"/>
      <c r="AK62" s="69"/>
      <c r="AL62" s="69"/>
    </row>
    <row r="63" spans="2:38" ht="15" customHeight="1" x14ac:dyDescent="0.2">
      <c r="B63" s="123"/>
      <c r="C63" s="124"/>
      <c r="D63" s="124"/>
      <c r="E63" s="125"/>
      <c r="F63" s="125"/>
      <c r="G63" s="550" t="s">
        <v>169</v>
      </c>
      <c r="H63" s="550"/>
      <c r="I63" s="550"/>
      <c r="J63" s="550"/>
      <c r="K63" s="550"/>
      <c r="L63" s="193"/>
      <c r="M63" s="193"/>
      <c r="N63" s="193"/>
      <c r="O63" s="125"/>
      <c r="P63" s="125"/>
      <c r="Q63" s="125"/>
      <c r="R63" s="125"/>
      <c r="S63" s="125"/>
      <c r="T63" s="125"/>
      <c r="U63" s="125"/>
      <c r="V63" s="125"/>
      <c r="W63" s="125"/>
      <c r="X63" s="125"/>
      <c r="Y63" s="125"/>
      <c r="Z63" s="125"/>
      <c r="AA63" s="306" t="s">
        <v>170</v>
      </c>
      <c r="AB63" s="195" t="e">
        <f>AVERAGE(T41:W41)</f>
        <v>#N/A</v>
      </c>
      <c r="AC63" s="195" t="e">
        <f>AVERAGE(X41:AA41)</f>
        <v>#N/A</v>
      </c>
      <c r="AD63" s="147">
        <f>AVERAGE(AB41:AD41)</f>
        <v>0.49776658964009091</v>
      </c>
      <c r="AF63" s="69"/>
      <c r="AG63" s="69"/>
      <c r="AH63" s="69"/>
      <c r="AI63" s="70"/>
      <c r="AJ63" s="69"/>
      <c r="AK63" s="69"/>
      <c r="AL63" s="69"/>
    </row>
    <row r="64" spans="2:38" x14ac:dyDescent="0.2">
      <c r="B64" s="123"/>
      <c r="C64" s="124"/>
      <c r="D64" s="124"/>
      <c r="E64" s="125"/>
      <c r="F64" s="125"/>
      <c r="G64" s="550"/>
      <c r="H64" s="550"/>
      <c r="I64" s="550"/>
      <c r="J64" s="550"/>
      <c r="K64" s="550"/>
      <c r="L64" s="193"/>
      <c r="M64" s="193"/>
      <c r="N64" s="193"/>
      <c r="O64" s="125"/>
      <c r="P64" s="125"/>
      <c r="Q64" s="125"/>
      <c r="R64" s="125"/>
      <c r="S64" s="125"/>
      <c r="T64" s="125"/>
      <c r="U64" s="125"/>
      <c r="V64" s="125"/>
      <c r="W64" s="125"/>
      <c r="X64" s="125"/>
      <c r="Y64" s="125"/>
      <c r="Z64" s="125"/>
      <c r="AA64" s="306" t="s">
        <v>23</v>
      </c>
      <c r="AB64" s="195" t="e">
        <f>AVERAGE(T42:W42)</f>
        <v>#N/A</v>
      </c>
      <c r="AC64" s="195" t="e">
        <f>AVERAGE(X42:AA42)</f>
        <v>#N/A</v>
      </c>
      <c r="AD64" s="147">
        <f>AVERAGE(AB42:AD42)</f>
        <v>3.6639766119071167E-2</v>
      </c>
    </row>
    <row r="65" spans="1:31" x14ac:dyDescent="0.2">
      <c r="B65" s="123"/>
      <c r="C65" s="124"/>
      <c r="D65" s="124"/>
      <c r="E65" s="125"/>
      <c r="F65" s="125"/>
      <c r="G65" s="550"/>
      <c r="H65" s="550"/>
      <c r="I65" s="550"/>
      <c r="J65" s="550"/>
      <c r="K65" s="550"/>
      <c r="L65" s="193"/>
      <c r="M65" s="193"/>
      <c r="N65" s="193"/>
      <c r="O65" s="125"/>
      <c r="P65" s="125"/>
      <c r="Q65" s="125"/>
      <c r="R65" s="125"/>
      <c r="S65" s="125"/>
      <c r="T65" s="125"/>
      <c r="U65" s="125"/>
      <c r="V65" s="125"/>
      <c r="W65" s="125"/>
      <c r="X65" s="125"/>
      <c r="Y65" s="125"/>
      <c r="Z65" s="125"/>
      <c r="AA65" s="334" t="s">
        <v>21</v>
      </c>
      <c r="AB65" s="307" t="e">
        <f t="shared" ref="AB65:AB67" si="34">AVERAGE(T44:W44)</f>
        <v>#N/A</v>
      </c>
      <c r="AC65" s="307" t="e">
        <f t="shared" ref="AC65:AC67" si="35">AVERAGE(X44:AA44)</f>
        <v>#N/A</v>
      </c>
      <c r="AD65" s="146">
        <f t="shared" ref="AD65:AD67" si="36">AVERAGE(AB44:AD44)</f>
        <v>0.48383180775320661</v>
      </c>
      <c r="AE65" s="197"/>
    </row>
    <row r="66" spans="1:31" x14ac:dyDescent="0.2">
      <c r="B66" s="123"/>
      <c r="C66" s="124"/>
      <c r="D66" s="124"/>
      <c r="E66" s="125"/>
      <c r="F66" s="125"/>
      <c r="G66" s="550"/>
      <c r="H66" s="550"/>
      <c r="I66" s="550"/>
      <c r="J66" s="550"/>
      <c r="K66" s="550"/>
      <c r="L66" s="193"/>
      <c r="M66" s="193"/>
      <c r="N66" s="193"/>
      <c r="O66" s="125"/>
      <c r="P66" s="125"/>
      <c r="Q66" s="125"/>
      <c r="R66" s="125"/>
      <c r="S66" s="125"/>
      <c r="T66" s="125"/>
      <c r="U66" s="125"/>
      <c r="V66" s="125"/>
      <c r="W66" s="125"/>
      <c r="X66" s="125"/>
      <c r="Y66" s="125"/>
      <c r="Z66" s="125"/>
      <c r="AA66" s="194" t="s">
        <v>171</v>
      </c>
      <c r="AB66" s="195" t="e">
        <f t="shared" si="34"/>
        <v>#N/A</v>
      </c>
      <c r="AC66" s="195" t="e">
        <f t="shared" si="35"/>
        <v>#N/A</v>
      </c>
      <c r="AD66" s="147">
        <f t="shared" si="36"/>
        <v>0.30655767563918634</v>
      </c>
    </row>
    <row r="67" spans="1:31" x14ac:dyDescent="0.2">
      <c r="B67" s="123"/>
      <c r="C67" s="124"/>
      <c r="D67" s="124"/>
      <c r="E67" s="125"/>
      <c r="F67" s="125"/>
      <c r="G67" s="550"/>
      <c r="H67" s="550"/>
      <c r="I67" s="550"/>
      <c r="J67" s="550"/>
      <c r="K67" s="550"/>
      <c r="L67" s="193"/>
      <c r="M67" s="193"/>
      <c r="N67" s="193"/>
      <c r="O67" s="125"/>
      <c r="P67" s="125"/>
      <c r="Q67" s="125"/>
      <c r="R67" s="125"/>
      <c r="S67" s="125"/>
      <c r="T67" s="125"/>
      <c r="U67" s="125"/>
      <c r="V67" s="125"/>
      <c r="W67" s="125"/>
      <c r="X67" s="125"/>
      <c r="Y67" s="125"/>
      <c r="Z67" s="125"/>
      <c r="AA67" s="194" t="s">
        <v>31</v>
      </c>
      <c r="AB67" s="195" t="e">
        <f t="shared" si="34"/>
        <v>#N/A</v>
      </c>
      <c r="AC67" s="195" t="e">
        <f t="shared" si="35"/>
        <v>#N/A</v>
      </c>
      <c r="AD67" s="147">
        <f t="shared" si="36"/>
        <v>0.28084982829965016</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si="37">AVERAGE(T50:W50)</f>
        <v>#DIV/0!</v>
      </c>
      <c r="AC68" s="195" t="e">
        <f t="shared" ref="AC68:AC70" si="38">AVERAGE(X50:AA50)</f>
        <v>#DIV/0!</v>
      </c>
      <c r="AD68" s="147" t="e">
        <f t="shared" ref="AD68:AD70" si="39">AVERAGE(AB50:AD50)</f>
        <v>#DIV/0!</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si="37"/>
        <v>#N/A</v>
      </c>
      <c r="AC69" s="307" t="e">
        <f t="shared" si="38"/>
        <v>#N/A</v>
      </c>
      <c r="AD69" s="146">
        <f t="shared" si="39"/>
        <v>0.45178995242964159</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si="37"/>
        <v>#N/A</v>
      </c>
      <c r="AC70" s="195" t="e">
        <f t="shared" si="38"/>
        <v>#N/A</v>
      </c>
      <c r="AD70" s="147">
        <f t="shared" si="39"/>
        <v>0.14169213790921376</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AVERAGE(T54:W54)</f>
        <v>#N/A</v>
      </c>
      <c r="AC71" s="195" t="e">
        <f>AVERAGE(X54:AA54)</f>
        <v>#N/A</v>
      </c>
      <c r="AD71" s="147">
        <f>AVERAGE(AB54:AD54)</f>
        <v>0.56967703834460082</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si="40">AVERAGE(T57:W57)</f>
        <v>#DIV/0!</v>
      </c>
      <c r="AC72" s="309" t="e">
        <f t="shared" ref="AC72" si="41">AVERAGE(X57:AA57)</f>
        <v>#DIV/0!</v>
      </c>
      <c r="AD72" s="148" t="e">
        <f t="shared" ref="AD72" si="42">AVERAGE(AB57:AD57)</f>
        <v>#DIV/0!</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3">
    <mergeCell ref="AA58:AD58"/>
    <mergeCell ref="G63:K67"/>
    <mergeCell ref="G62:K62"/>
    <mergeCell ref="AB60:AC60"/>
    <mergeCell ref="AB38:AD38"/>
    <mergeCell ref="C2:E2"/>
    <mergeCell ref="G2:AD2"/>
    <mergeCell ref="G4:AD4"/>
    <mergeCell ref="C5:E8"/>
    <mergeCell ref="G6:G7"/>
    <mergeCell ref="I6:Q6"/>
    <mergeCell ref="H6:H7"/>
    <mergeCell ref="AA6:AD6"/>
    <mergeCell ref="T5:Z5"/>
    <mergeCell ref="C9:D10"/>
    <mergeCell ref="E9:E10"/>
    <mergeCell ref="C11:D12"/>
    <mergeCell ref="C13:D14"/>
    <mergeCell ref="G38:G39"/>
    <mergeCell ref="G36:AD36"/>
    <mergeCell ref="I38:Q38"/>
    <mergeCell ref="H38:H39"/>
    <mergeCell ref="T37:Z37"/>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G19" zoomScale="150" zoomScaleNormal="150" workbookViewId="0">
      <selection activeCell="N32" sqref="N32:N36"/>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55" t="s">
        <v>57</v>
      </c>
      <c r="F2" s="555"/>
      <c r="G2" s="555"/>
      <c r="H2" s="125"/>
      <c r="I2" s="554" t="s">
        <v>57</v>
      </c>
      <c r="J2" s="554"/>
      <c r="K2" s="554"/>
      <c r="L2" s="554"/>
      <c r="M2" s="554"/>
      <c r="N2" s="554"/>
      <c r="O2" s="554"/>
      <c r="P2" s="554"/>
      <c r="Q2" s="554"/>
      <c r="R2" s="554"/>
      <c r="S2" s="554"/>
      <c r="T2" s="554"/>
      <c r="U2" s="554"/>
      <c r="V2" s="349"/>
      <c r="X2" s="554" t="s">
        <v>173</v>
      </c>
      <c r="Y2" s="554"/>
      <c r="Z2" s="554"/>
      <c r="AA2" s="554"/>
      <c r="AB2" s="554"/>
      <c r="AC2" s="554"/>
      <c r="AD2" s="554"/>
      <c r="AE2" s="554"/>
      <c r="AF2" s="554"/>
      <c r="AG2" s="554"/>
      <c r="AH2" s="554"/>
      <c r="AI2" s="554"/>
      <c r="AJ2" s="554"/>
      <c r="AK2" s="554"/>
      <c r="AL2" s="554"/>
      <c r="AM2" s="554"/>
      <c r="AN2" s="554"/>
      <c r="AU2" s="84"/>
      <c r="AV2" s="84"/>
      <c r="AW2" s="130"/>
      <c r="AX2" s="130"/>
      <c r="AY2" s="84"/>
      <c r="AZ2" s="84"/>
      <c r="BA2" s="84"/>
      <c r="BB2" s="84"/>
    </row>
    <row r="3" spans="1:54" ht="14.25" x14ac:dyDescent="0.2">
      <c r="A3" s="81"/>
      <c r="B3" s="81"/>
      <c r="C3" s="81"/>
      <c r="D3" s="130"/>
      <c r="E3" s="442"/>
      <c r="F3" s="84"/>
      <c r="G3" s="84"/>
      <c r="H3" s="125"/>
      <c r="I3" s="557" t="s">
        <v>174</v>
      </c>
      <c r="J3" s="557"/>
      <c r="K3" s="557"/>
      <c r="L3" s="557"/>
      <c r="M3" s="557"/>
      <c r="N3" s="557"/>
      <c r="O3" s="557"/>
      <c r="P3" s="557"/>
      <c r="Q3" s="557"/>
      <c r="R3" s="557"/>
      <c r="S3" s="557"/>
      <c r="T3" s="557"/>
      <c r="U3" s="557"/>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57"/>
      <c r="J4" s="557"/>
      <c r="K4" s="557"/>
      <c r="L4" s="557"/>
      <c r="M4" s="557"/>
      <c r="N4" s="557"/>
      <c r="O4" s="557"/>
      <c r="P4" s="557"/>
      <c r="Q4" s="557"/>
      <c r="R4" s="557"/>
      <c r="S4" s="557"/>
      <c r="T4" s="557"/>
      <c r="U4" s="557"/>
      <c r="V4" s="349"/>
      <c r="X4" s="339"/>
      <c r="Y4" s="339"/>
      <c r="Z4" s="339"/>
      <c r="AA4" s="339"/>
      <c r="AB4" s="339"/>
      <c r="AC4" s="339"/>
      <c r="AD4" s="339"/>
      <c r="AE4" s="339"/>
      <c r="AF4" s="339"/>
      <c r="AG4" s="339"/>
      <c r="AH4" s="339"/>
      <c r="AI4" s="339"/>
      <c r="AJ4" s="339"/>
      <c r="AK4" s="339"/>
      <c r="AL4" s="339"/>
      <c r="AM4" s="339"/>
      <c r="AN4" s="339"/>
      <c r="AT4" s="561" t="s">
        <v>175</v>
      </c>
      <c r="AU4" s="561"/>
      <c r="AV4" s="561"/>
      <c r="AW4" s="561"/>
      <c r="AX4" s="561"/>
      <c r="AY4" s="561"/>
      <c r="AZ4" s="561"/>
      <c r="BA4" s="561"/>
      <c r="BB4" s="84"/>
    </row>
    <row r="5" spans="1:54" ht="14.25" customHeight="1" x14ac:dyDescent="0.2">
      <c r="A5" s="81"/>
      <c r="B5" s="81"/>
      <c r="C5" s="81"/>
      <c r="D5" s="130"/>
      <c r="E5" s="557" t="s">
        <v>176</v>
      </c>
      <c r="F5" s="557"/>
      <c r="G5" s="557"/>
      <c r="H5" s="125"/>
      <c r="I5" s="557"/>
      <c r="J5" s="557"/>
      <c r="K5" s="557"/>
      <c r="L5" s="557"/>
      <c r="M5" s="557"/>
      <c r="N5" s="557"/>
      <c r="O5" s="557"/>
      <c r="P5" s="557"/>
      <c r="Q5" s="557"/>
      <c r="R5" s="557"/>
      <c r="S5" s="557"/>
      <c r="T5" s="557"/>
      <c r="U5" s="557"/>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57"/>
      <c r="F6" s="557"/>
      <c r="G6" s="557"/>
      <c r="H6" s="125"/>
      <c r="I6" s="191"/>
      <c r="J6" s="191"/>
      <c r="K6" s="191"/>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57"/>
      <c r="F7" s="557"/>
      <c r="G7" s="557"/>
      <c r="H7" s="125"/>
      <c r="I7" s="438" t="s">
        <v>497</v>
      </c>
      <c r="J7" s="438"/>
      <c r="K7" s="439">
        <v>1</v>
      </c>
      <c r="L7" s="439"/>
      <c r="M7" s="439"/>
      <c r="N7" s="439"/>
      <c r="O7" s="339"/>
      <c r="P7" s="559" t="s">
        <v>177</v>
      </c>
      <c r="Q7" s="559"/>
      <c r="R7" s="559"/>
      <c r="S7" s="559" t="s">
        <v>516</v>
      </c>
      <c r="T7" s="559"/>
      <c r="U7" s="559"/>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57"/>
      <c r="F8" s="557"/>
      <c r="G8" s="557"/>
      <c r="H8" s="125"/>
      <c r="I8" s="566" t="s">
        <v>178</v>
      </c>
      <c r="J8" s="454" t="s">
        <v>179</v>
      </c>
      <c r="K8" s="454"/>
      <c r="L8" s="454"/>
      <c r="M8" s="454"/>
      <c r="N8" s="454"/>
      <c r="O8" s="341"/>
      <c r="P8" s="556" t="s">
        <v>180</v>
      </c>
      <c r="Q8" s="556"/>
      <c r="R8" s="567"/>
      <c r="S8" s="556" t="s">
        <v>181</v>
      </c>
      <c r="T8" s="556"/>
      <c r="U8" s="556"/>
      <c r="V8" s="349"/>
      <c r="X8" s="556" t="s">
        <v>182</v>
      </c>
      <c r="Y8" s="556"/>
      <c r="Z8" s="556"/>
      <c r="AA8" s="556"/>
      <c r="AB8" s="556"/>
      <c r="AC8" s="556"/>
      <c r="AD8" s="556"/>
      <c r="AE8" s="556"/>
      <c r="AF8" s="556"/>
      <c r="AG8" s="556"/>
      <c r="AH8" s="556"/>
      <c r="AI8" s="556"/>
      <c r="AJ8" s="556"/>
      <c r="AK8" s="556"/>
      <c r="AL8" s="556"/>
      <c r="AM8" s="556"/>
      <c r="AN8" s="556"/>
      <c r="AU8" s="84"/>
      <c r="AV8" s="84"/>
      <c r="AW8" s="130"/>
      <c r="AX8" s="130"/>
      <c r="AY8" s="84"/>
      <c r="AZ8" s="84"/>
      <c r="BA8" s="84"/>
      <c r="BB8" s="84"/>
    </row>
    <row r="9" spans="1:54" ht="15.6" customHeight="1" x14ac:dyDescent="0.2">
      <c r="A9" s="90"/>
      <c r="B9" s="90"/>
      <c r="C9" s="90"/>
      <c r="D9" s="337"/>
      <c r="E9" s="558" t="s">
        <v>183</v>
      </c>
      <c r="F9" s="558"/>
      <c r="G9" s="562"/>
      <c r="H9" s="125"/>
      <c r="I9" s="566"/>
      <c r="J9" s="454"/>
      <c r="K9" s="454"/>
      <c r="L9" s="454"/>
      <c r="M9" s="454"/>
      <c r="N9" s="454"/>
      <c r="O9" s="341"/>
      <c r="P9" s="556"/>
      <c r="Q9" s="556"/>
      <c r="R9" s="567"/>
      <c r="S9" s="556"/>
      <c r="T9" s="556"/>
      <c r="U9" s="556"/>
      <c r="V9" s="349"/>
      <c r="X9" s="556"/>
      <c r="Y9" s="556"/>
      <c r="Z9" s="556"/>
      <c r="AA9" s="556"/>
      <c r="AB9" s="556"/>
      <c r="AC9" s="556"/>
      <c r="AD9" s="556"/>
      <c r="AE9" s="556"/>
      <c r="AF9" s="556"/>
      <c r="AG9" s="556"/>
      <c r="AH9" s="556"/>
      <c r="AI9" s="556"/>
      <c r="AJ9" s="556"/>
      <c r="AK9" s="556"/>
      <c r="AL9" s="556"/>
      <c r="AM9" s="556"/>
      <c r="AN9" s="556"/>
      <c r="AU9" s="84"/>
      <c r="AV9" s="84"/>
      <c r="AW9" s="130"/>
      <c r="AX9" s="130"/>
      <c r="AY9" s="84"/>
      <c r="AZ9" s="84"/>
      <c r="BA9" s="84"/>
      <c r="BB9" s="84"/>
    </row>
    <row r="10" spans="1:54" ht="14.25" x14ac:dyDescent="0.2">
      <c r="A10" s="91"/>
      <c r="B10" s="91"/>
      <c r="C10" s="91"/>
      <c r="D10" s="338"/>
      <c r="E10" s="558"/>
      <c r="F10" s="558"/>
      <c r="G10" s="562"/>
      <c r="H10" s="125"/>
      <c r="I10" s="566"/>
      <c r="J10" s="157">
        <v>2022</v>
      </c>
      <c r="K10" s="502">
        <v>2023</v>
      </c>
      <c r="L10" s="502">
        <v>2024</v>
      </c>
      <c r="M10" s="502">
        <v>2025</v>
      </c>
      <c r="N10" s="502">
        <v>2026</v>
      </c>
      <c r="O10" s="341"/>
      <c r="P10" s="158" t="e" cm="1">
        <f t="array" ref="P10">_xlfn.XLOOKUP(1, ('0. GUIDELINES'!$E$3=[1]Elasticities!$A:$A) * ("Long"=[1]Elasticities!$B:$B) * ($A$11=[1]Elasticities!$D:$D) * ($C11=[1]Elasticities!$E:$E) * ('2.1 LABOR STRUCTURE'!$E$4=[1]Elasticities!$G:$G), [1]Elasticities!$C:$C)</f>
        <v>#N/A</v>
      </c>
      <c r="Q10" s="158" t="e" cm="1">
        <f t="array" ref="Q10">_xlfn.XLOOKUP(1, ('0. GUIDELINES'!$E$3=[1]Elasticities!$A:$A) * ("Middle"=[1]Elasticities!$B:$B) * ($B$11=[1]Elasticities!$D:$D) * ($C11=[1]Elasticities!$E:$E) * ('2.1 LABOR STRUCTURE'!$E$4=[1]Elasticities!$G:$G), [1]Elasticities!$C:$C)</f>
        <v>#N/A</v>
      </c>
      <c r="R10" s="159" t="str" cm="1">
        <f t="array" ref="R10">_xlfn.XLOOKUP(1, ('0. GUIDELINES'!$E$3=[1]Elasticities!$A:$A) * ("Short"=[1]Elasticities!$B:$B) * ($A$11=[1]Elasticities!$D:$D) * ($C11=[1]Elasticities!$E:$E) * ('2.1 LABOR STRUCTURE'!$E$4=[1]Elasticities!$G:$G), [1]Elasticities!$C:$C)</f>
        <v>2016 - 2022</v>
      </c>
      <c r="S10" s="158" t="e" cm="1">
        <f t="array" ref="S10">_xlfn.XLOOKUP(1, ('0. GUIDELINES'!$E$3=[1]Elasticities!$A:$A) * ("Long"=[1]Elasticities!$B:$B) * ($B$11=[1]Elasticities!$D:$D) * ($C11=[1]Elasticities!$E:$E) * ('2.1 LABOR STRUCTURE'!$E$4=[1]Elasticities!$G:$G), [1]Elasticities!$C:$C)</f>
        <v>#N/A</v>
      </c>
      <c r="T10" s="158" t="e" cm="1">
        <f t="array" ref="T10">_xlfn.XLOOKUP(1, ('0. GUIDELINES'!$E$3=[1]Elasticities!$A:$A) * ("Middle"=[1]Elasticities!$B:$B) * ($B$11=[1]Elasticities!$D:$D) * ($C11=[1]Elasticities!$E:$E) * ('2.1 LABOR STRUCTURE'!$E$4=[1]Elasticities!$G:$G), [1]Elasticities!$C:$C)</f>
        <v>#N/A</v>
      </c>
      <c r="U10" s="158" t="str" cm="1">
        <f t="array" ref="U10">_xlfn.XLOOKUP(1, ('0. GUIDELINES'!$E$3=[1]Elasticities!$A:$A) * ("Short"=[1]Elasticities!$B:$B) * ($B$11=[1]Elasticities!$D:$D) * ($C11=[1]Elasticities!$E:$E) * ('2.1 LABOR STRUCTURE'!$E$4=[1]Elasticities!$G:$G), [1]Elasticities!$C:$C)</f>
        <v>2016 - 2022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hsls12_S0_A0</v>
      </c>
      <c r="D11" s="123"/>
      <c r="E11" s="124" t="s">
        <v>187</v>
      </c>
      <c r="F11" s="84"/>
      <c r="G11" s="84"/>
      <c r="H11" s="84"/>
      <c r="I11" s="134" t="s">
        <v>188</v>
      </c>
      <c r="J11" s="133"/>
      <c r="K11" s="454">
        <v>-0.03</v>
      </c>
      <c r="L11" s="133">
        <f>R11</f>
        <v>0.35838958621025085</v>
      </c>
      <c r="M11" s="133">
        <v>0.28000000000000003</v>
      </c>
      <c r="N11" s="133">
        <v>0.2</v>
      </c>
      <c r="O11" s="341"/>
      <c r="P11" s="344" t="e" cm="1">
        <f t="array" ref="P11">_xlfn.XLOOKUP(1, ('0. GUIDELINES'!$E$3=[1]Elasticities!$A:$A) * ("Long"=[1]Elasticities!$B:$B) * ($A$11=[1]Elasticities!$D:$D) * ($C11=[1]Elasticities!$E:$E) * ('2.1 LABOR STRUCTURE'!$E$4=[1]Elasticities!$G:$G), [1]Elasticities!$F:$F)</f>
        <v>#N/A</v>
      </c>
      <c r="Q11" s="344" t="e" cm="1">
        <f t="array" ref="Q11">_xlfn.XLOOKUP(1, ('0. GUIDELINES'!$E$3=[1]Elasticities!$A:$A) * ("Middle"=[1]Elasticities!$B:$B) * ($A$11=[1]Elasticities!$D:$D) * ($C11=[1]Elasticities!$E:$E) * ('2.1 LABOR STRUCTURE'!$E$4=[1]Elasticities!$G:$G), [1]Elasticities!$F:$F)</f>
        <v>#N/A</v>
      </c>
      <c r="R11" s="454" cm="1">
        <f t="array" ref="R11">_xlfn.XLOOKUP(1, ('0. GUIDELINES'!$E$3=[1]Elasticities!$A:$A) * ("Short"=[1]Elasticities!$B:$B) * ($A$11=[1]Elasticities!$D:$D) * ($C11=[1]Elasticities!$E:$E) * ('2.1 LABOR STRUCTURE'!$E$4=[1]Elasticities!$G:$G), [1]Elasticities!$F:$F)</f>
        <v>0.35838958621025085</v>
      </c>
      <c r="S11" s="344" t="e" cm="1">
        <f t="array" ref="S11">_xlfn.XLOOKUP(1, ('0. GUIDELINES'!$E$3=[1]Elasticities!$A:$A) * ("Long"=[1]Elasticities!$B:$B) * ($B$11=[1]Elasticities!$D:$D) * ($C11=[1]Elasticities!$E:$E) * ('2.1 LABOR STRUCTURE'!$E$4=[1]Elasticities!$G:$G), [1]Elasticities!$F:$F)</f>
        <v>#N/A</v>
      </c>
      <c r="T11" s="344" t="e" cm="1">
        <f t="array" ref="T11">_xlfn.XLOOKUP(1, ('0. GUIDELINES'!$E$3=[1]Elasticities!$A:$A) * ("Middle"=[1]Elasticities!$B:$B) * ($B$11=[1]Elasticities!$D:$D) * ($C11=[1]Elasticities!$E:$E) * ('2.1 LABOR STRUCTURE'!$E$4=[1]Elasticities!$G:$G), [1]Elasticities!$F:$F)</f>
        <v>#N/A</v>
      </c>
      <c r="U11" s="344" cm="1">
        <f t="array" ref="U11">_xlfn.XLOOKUP(1, ('0. GUIDELINES'!$E$3=[1]Elasticities!$A:$A) * ("Short"=[1]Elasticities!$B:$B) * ($B$11=[1]Elasticities!$D:$D) * ($C11=[1]Elasticities!$E:$E) * ('2.1 LABOR STRUCTURE'!$E$4=[1]Elasticities!$G:$G), [1]Elasticities!$F:$F)</f>
        <v>0.4034169614315033</v>
      </c>
      <c r="V11" s="126"/>
      <c r="X11" s="162" t="e" cm="1">
        <f t="array" ref="X11">_xlfn.XLOOKUP(1, ('0. GUIDELINES'!$E$3='[1]Elasticities by year'!$A:$A) * (X$10='[1]Elasticities by year'!$B:$B)* ($C11='[1]Elasticities by year'!$C:$C), '[1]Elasticities by year'!$D:$D)</f>
        <v>#N/A</v>
      </c>
      <c r="Y11" s="162" t="e" cm="1">
        <f t="array" ref="Y11">_xlfn.XLOOKUP(1, ('0. GUIDELINES'!$E$3='[1]Elasticities by year'!$A:$A) * (Y$10='[1]Elasticities by year'!$B:$B)* ($C11='[1]Elasticities by year'!$C:$C), '[1]Elasticities by year'!$D:$D)</f>
        <v>#N/A</v>
      </c>
      <c r="Z11" s="162" t="e" cm="1">
        <f t="array" ref="Z11">_xlfn.XLOOKUP(1, ('0. GUIDELINES'!$E$3='[1]Elasticities by year'!$A:$A) * (Z$10='[1]Elasticities by year'!$B:$B)* ($C11='[1]Elasticities by year'!$C:$C), '[1]Elasticities by year'!$D:$D)</f>
        <v>#N/A</v>
      </c>
      <c r="AA11" s="162" t="e" cm="1">
        <f t="array" ref="AA11">_xlfn.XLOOKUP(1, ('0. GUIDELINES'!$E$3='[1]Elasticities by year'!$A:$A) * (AA$10='[1]Elasticities by year'!$B:$B)* ($C11='[1]Elasticities by year'!$C:$C), '[1]Elasticities by year'!$D:$D)</f>
        <v>#N/A</v>
      </c>
      <c r="AB11" s="162" t="e" cm="1">
        <f t="array" ref="AB11">_xlfn.XLOOKUP(1, ('0. GUIDELINES'!$E$3='[1]Elasticities by year'!$A:$A) * (AB$10='[1]Elasticities by year'!$B:$B)* ($C11='[1]Elasticities by year'!$C:$C), '[1]Elasticities by year'!$D:$D)</f>
        <v>#N/A</v>
      </c>
      <c r="AC11" s="162" t="e" cm="1">
        <f t="array" ref="AC11">_xlfn.XLOOKUP(1, ('0. GUIDELINES'!$E$3='[1]Elasticities by year'!$A:$A) * (AC$10='[1]Elasticities by year'!$B:$B)* ($C11='[1]Elasticities by year'!$C:$C), '[1]Elasticities by year'!$D:$D)</f>
        <v>#N/A</v>
      </c>
      <c r="AD11" s="162" t="e" cm="1">
        <f t="array" ref="AD11">_xlfn.XLOOKUP(1, ('0. GUIDELINES'!$E$3='[1]Elasticities by year'!$A:$A) * (AD$10='[1]Elasticities by year'!$B:$B)* ($C11='[1]Elasticities by year'!$C:$C), '[1]Elasticities by year'!$D:$D)</f>
        <v>#N/A</v>
      </c>
      <c r="AE11" s="162" t="e" cm="1">
        <f t="array" ref="AE11">_xlfn.XLOOKUP(1, ('0. GUIDELINES'!$E$3='[1]Elasticities by year'!$A:$A) * (AE$10='[1]Elasticities by year'!$B:$B)* ($C11='[1]Elasticities by year'!$C:$C), '[1]Elasticities by year'!$D:$D)</f>
        <v>#N/A</v>
      </c>
      <c r="AF11" s="162" t="e" cm="1">
        <f t="array" ref="AF11">_xlfn.XLOOKUP(1, ('0. GUIDELINES'!$E$3='[1]Elasticities by year'!$A:$A) * (AF$10='[1]Elasticities by year'!$B:$B)* ($C11='[1]Elasticities by year'!$C:$C), '[1]Elasticities by year'!$D:$D)</f>
        <v>#N/A</v>
      </c>
      <c r="AG11" s="162" t="e" cm="1">
        <f t="array" ref="AG11">_xlfn.XLOOKUP(1, ('0. GUIDELINES'!$E$3='[1]Elasticities by year'!$A:$A) * (AG$10='[1]Elasticities by year'!$B:$B)* ($C11='[1]Elasticities by year'!$C:$C), '[1]Elasticities by year'!$D:$D)</f>
        <v>#N/A</v>
      </c>
      <c r="AH11" s="162" t="e" cm="1">
        <f t="array" ref="AH11">_xlfn.XLOOKUP(1, ('0. GUIDELINES'!$E$3='[1]Elasticities by year'!$A:$A) * (AH$10='[1]Elasticities by year'!$B:$B)* ($C11='[1]Elasticities by year'!$C:$C), '[1]Elasticities by year'!$D:$D)</f>
        <v>#N/A</v>
      </c>
      <c r="AI11" s="162" t="e" cm="1">
        <f t="array" ref="AI11">_xlfn.XLOOKUP(1, ('0. GUIDELINES'!$E$3='[1]Elasticities by year'!$A:$A) * (AI$10='[1]Elasticities by year'!$B:$B)* ($C11='[1]Elasticities by year'!$C:$C), '[1]Elasticities by year'!$D:$D)</f>
        <v>#N/A</v>
      </c>
      <c r="AJ11" s="162" t="e" cm="1">
        <f t="array" ref="AJ11">_xlfn.XLOOKUP(1, ('0. GUIDELINES'!$E$3='[1]Elasticities by year'!$A:$A) * (AJ$10='[1]Elasticities by year'!$B:$B)* ($C11='[1]Elasticities by year'!$C:$C), '[1]Elasticities by year'!$D:$D)</f>
        <v>#N/A</v>
      </c>
      <c r="AK11" s="162" t="e" cm="1">
        <f t="array" ref="AK11">_xlfn.XLOOKUP(1, ('0. GUIDELINES'!$E$3='[1]Elasticities by year'!$A:$A) * (AK$10='[1]Elasticities by year'!$B:$B)* ($C11='[1]Elasticities by year'!$C:$C), '[1]Elasticities by year'!$D:$D)</f>
        <v>#N/A</v>
      </c>
      <c r="AL11" s="162" t="e" cm="1">
        <f t="array" ref="AL11">_xlfn.XLOOKUP(1, ('0. GUIDELINES'!$E$3='[1]Elasticities by year'!$A:$A) * (AL$10='[1]Elasticities by year'!$B:$B)* ($C11='[1]Elasticities by year'!$C:$C), '[1]Elasticities by year'!$D:$D)</f>
        <v>#N/A</v>
      </c>
      <c r="AM11" s="162" t="e" cm="1">
        <f t="array" ref="AM11">_xlfn.XLOOKUP(1, ('0. GUIDELINES'!$E$3='[1]Elasticities by year'!$A:$A) * (AM$10='[1]Elasticities by year'!$B:$B)* ($C11='[1]Elasticities by year'!$C:$C), '[1]Elasticities by year'!$D:$D)</f>
        <v>#N/A</v>
      </c>
      <c r="AN11" s="162" t="e" cm="1">
        <f t="array" ref="AN11">_xlfn.XLOOKUP(1, ('0. GUIDELINES'!$E$3='[1]Elasticities by year'!$A:$A) * (AN$10='[1]Elasticities by year'!$B:$B)* ($C11='[1]Elasticities by year'!$C:$C), '[1]Elasticities by year'!$D:$D)</f>
        <v>#N/A</v>
      </c>
      <c r="AP11" s="343" t="e">
        <f>AVERAGEIF(X11:AK11, "&lt;&gt;#N/A")</f>
        <v>#DIV/0!</v>
      </c>
      <c r="AQ11" s="343" t="e">
        <f>AVERAGEIF(AC11:AK11, "&lt;&gt;#N/A")</f>
        <v>#DIV/0!</v>
      </c>
      <c r="AR11" s="343" t="e">
        <f>AVERAGEIF(AH11:AK11, "&lt;&gt;#N/A")</f>
        <v>#DIV/0!</v>
      </c>
      <c r="AU11" s="84"/>
      <c r="AV11" s="84"/>
      <c r="AW11" s="130"/>
      <c r="AX11" s="130"/>
      <c r="AY11" s="84"/>
      <c r="AZ11" s="84"/>
      <c r="BA11" s="84"/>
      <c r="BB11" s="84"/>
    </row>
    <row r="12" spans="1:54" ht="14.25" x14ac:dyDescent="0.2">
      <c r="A12" s="87"/>
      <c r="B12" s="87"/>
      <c r="C12" s="87" t="str">
        <f>IF($S$7="LFS",CONCATENATE("lf",'CONTROL '!$C3),CONCATENATE("hs",'CONTROL '!$C3))</f>
        <v>hsls1_s0_a1</v>
      </c>
      <c r="D12" s="123"/>
      <c r="E12" s="84"/>
      <c r="F12" s="84"/>
      <c r="G12" s="84"/>
      <c r="H12" s="84"/>
      <c r="I12" s="134" t="s">
        <v>390</v>
      </c>
      <c r="J12" s="133"/>
      <c r="K12" s="454">
        <v>-0.75</v>
      </c>
      <c r="L12" s="133">
        <f t="shared" ref="L12:L13" si="0">R12</f>
        <v>0.55237853527069092</v>
      </c>
      <c r="M12" s="133">
        <v>0.43155827018103698</v>
      </c>
      <c r="N12" s="133">
        <v>0.3</v>
      </c>
      <c r="O12" s="341"/>
      <c r="P12" s="344" t="e" cm="1">
        <f t="array" ref="P12">_xlfn.XLOOKUP(1, ('0. GUIDELINES'!$E$3=[1]Elasticities!$A:$A) * ("Long"=[1]Elasticities!$B:$B) * ($A$11=[1]Elasticities!$D:$D) * ($C12=[1]Elasticities!$E:$E) * ('2.1 LABOR STRUCTURE'!$E$4=[1]Elasticities!$G:$G), [1]Elasticities!$F:$F)</f>
        <v>#N/A</v>
      </c>
      <c r="Q12" s="344" t="e" cm="1">
        <f t="array" ref="Q12">_xlfn.XLOOKUP(1, ('0. GUIDELINES'!$E$3=[1]Elasticities!$A:$A) * ("Middle"=[1]Elasticities!$B:$B) * ($A$11=[1]Elasticities!$D:$D) * ($C12=[1]Elasticities!$E:$E) * ('2.1 LABOR STRUCTURE'!$E$4=[1]Elasticities!$G:$G), [1]Elasticities!$F:$F)</f>
        <v>#N/A</v>
      </c>
      <c r="R12" s="454" cm="1">
        <f t="array" ref="R12">_xlfn.XLOOKUP(1, ('0. GUIDELINES'!$E$3=[1]Elasticities!$A:$A) * ("Short"=[1]Elasticities!$B:$B) * ($A$11=[1]Elasticities!$D:$D) * ($C12=[1]Elasticities!$E:$E) * ('2.1 LABOR STRUCTURE'!$E$4=[1]Elasticities!$G:$G), [1]Elasticities!$F:$F)</f>
        <v>0.55237853527069092</v>
      </c>
      <c r="S12" s="344" t="e" cm="1">
        <f t="array" ref="S12">_xlfn.XLOOKUP(1, ('0. GUIDELINES'!$E$3=[1]Elasticities!$A:$A) * ("Long"=[1]Elasticities!$B:$B) * ($B$11=[1]Elasticities!$D:$D) * ($C12=[1]Elasticities!$E:$E) * ('2.1 LABOR STRUCTURE'!$E$4=[1]Elasticities!$G:$G), [1]Elasticities!$F:$F)</f>
        <v>#N/A</v>
      </c>
      <c r="T12" s="344" t="e" cm="1">
        <f t="array" ref="T12">_xlfn.XLOOKUP(1, ('0. GUIDELINES'!$E$3=[1]Elasticities!$A:$A) * ("Middle"=[1]Elasticities!$B:$B) * ($B$11=[1]Elasticities!$D:$D) * ($C12=[1]Elasticities!$E:$E) * ('2.1 LABOR STRUCTURE'!$E$4=[1]Elasticities!$G:$G), [1]Elasticities!$F:$F)</f>
        <v>#N/A</v>
      </c>
      <c r="U12" s="344" cm="1">
        <f t="array" ref="U12">_xlfn.XLOOKUP(1, ('0. GUIDELINES'!$E$3=[1]Elasticities!$A:$A) * ("Short"=[1]Elasticities!$B:$B) * ($B$11=[1]Elasticities!$D:$D) * ($C12=[1]Elasticities!$E:$E) * ('2.1 LABOR STRUCTURE'!$E$4=[1]Elasticities!$G:$G), [1]Elasticities!$F:$F)</f>
        <v>0.57608526945114136</v>
      </c>
      <c r="V12" s="126"/>
      <c r="X12" s="162" t="e" cm="1">
        <f t="array" ref="X12">_xlfn.XLOOKUP(1, ('0. GUIDELINES'!$E$3='[1]Elasticities by year'!$A:$A) * (X$10='[1]Elasticities by year'!$B:$B)* ($C12='[1]Elasticities by year'!$C:$C), '[1]Elasticities by year'!$D:$D)</f>
        <v>#N/A</v>
      </c>
      <c r="Y12" s="162" t="e" cm="1">
        <f t="array" ref="Y12">_xlfn.XLOOKUP(1, ('0. GUIDELINES'!$E$3='[1]Elasticities by year'!$A:$A) * (Y$10='[1]Elasticities by year'!$B:$B)* ($C12='[1]Elasticities by year'!$C:$C), '[1]Elasticities by year'!$D:$D)</f>
        <v>#N/A</v>
      </c>
      <c r="Z12" s="162" t="e" cm="1">
        <f t="array" ref="Z12">_xlfn.XLOOKUP(1, ('0. GUIDELINES'!$E$3='[1]Elasticities by year'!$A:$A) * (Z$10='[1]Elasticities by year'!$B:$B)* ($C12='[1]Elasticities by year'!$C:$C), '[1]Elasticities by year'!$D:$D)</f>
        <v>#N/A</v>
      </c>
      <c r="AA12" s="162" t="e" cm="1">
        <f t="array" ref="AA12">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ref="AI12">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ref="AK12">_xlfn.XLOOKUP(1, ('0. GUIDELINES'!$E$3='[1]Elasticities by year'!$A:$A) * (AK$10='[1]Elasticities by year'!$B:$B)* ($C12='[1]Elasticities by year'!$C:$C), '[1]Elasticities by year'!$D:$D)</f>
        <v>#N/A</v>
      </c>
      <c r="AL12" s="162" t="e" cm="1">
        <f t="array" ref="AL12">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si="1">AVERAGEIF(X12:AK12, "&lt;&gt;#N/A")</f>
        <v>#DIV/0!</v>
      </c>
      <c r="AQ12" s="343" t="e">
        <f t="shared" ref="AQ12:AQ23" si="2">AVERAGEIF(AC12:AK12, "&lt;&gt;#N/A")</f>
        <v>#DIV/0!</v>
      </c>
      <c r="AR12" s="343" t="e">
        <f t="shared" ref="AR12:AR23" si="3">AVERAGEIF(AH12:AK12, "&lt;&gt;#N/A")</f>
        <v>#DIV/0!</v>
      </c>
      <c r="AU12" s="84"/>
      <c r="AV12" s="84"/>
      <c r="AW12" s="130"/>
      <c r="AX12" s="130"/>
      <c r="AY12" s="84"/>
      <c r="AZ12" s="84"/>
      <c r="BA12" s="84"/>
      <c r="BB12" s="84"/>
    </row>
    <row r="13" spans="1:54" ht="14.25" x14ac:dyDescent="0.2">
      <c r="A13" s="87"/>
      <c r="B13" s="87"/>
      <c r="C13" s="87" t="str">
        <f>IF($S$7="LFS",CONCATENATE("lf",'CONTROL '!$C4),CONCATENATE("hs",'CONTROL '!$C4))</f>
        <v>hsls1_s1_a1</v>
      </c>
      <c r="D13" s="123"/>
      <c r="E13" s="84"/>
      <c r="F13" s="84"/>
      <c r="G13" s="84"/>
      <c r="H13" s="84"/>
      <c r="I13" s="134" t="s">
        <v>389</v>
      </c>
      <c r="J13" s="133"/>
      <c r="K13" s="454">
        <v>-0.75</v>
      </c>
      <c r="L13" s="133">
        <f t="shared" si="0"/>
        <v>0.48470062017440796</v>
      </c>
      <c r="M13" s="133">
        <v>0.37868336266114538</v>
      </c>
      <c r="N13" s="133">
        <v>0.25</v>
      </c>
      <c r="O13" s="341"/>
      <c r="P13" s="344" t="e" cm="1">
        <f t="array" ref="P13">_xlfn.XLOOKUP(1, ('0. GUIDELINES'!$E$3=[1]Elasticities!$A:$A) * ("Long"=[1]Elasticities!$B:$B) * ($A$11=[1]Elasticities!$D:$D) * ($C13=[1]Elasticities!$E:$E) * ('2.1 LABOR STRUCTURE'!$E$4=[1]Elasticities!$G:$G), [1]Elasticities!$F:$F)</f>
        <v>#N/A</v>
      </c>
      <c r="Q13" s="344" t="e" cm="1">
        <f t="array" ref="Q13">_xlfn.XLOOKUP(1, ('0. GUIDELINES'!$E$3=[1]Elasticities!$A:$A) * ("Middle"=[1]Elasticities!$B:$B) * ($A$11=[1]Elasticities!$D:$D) * ($C13=[1]Elasticities!$E:$E) * ('2.1 LABOR STRUCTURE'!$E$4=[1]Elasticities!$G:$G), [1]Elasticities!$F:$F)</f>
        <v>#N/A</v>
      </c>
      <c r="R13" s="454" cm="1">
        <f t="array" ref="R13">_xlfn.XLOOKUP(1, ('0. GUIDELINES'!$E$3=[1]Elasticities!$A:$A) * ("Short"=[1]Elasticities!$B:$B) * ($A$11=[1]Elasticities!$D:$D) * ($C13=[1]Elasticities!$E:$E) * ('2.1 LABOR STRUCTURE'!$E$4=[1]Elasticities!$G:$G), [1]Elasticities!$F:$F)</f>
        <v>0.48470062017440796</v>
      </c>
      <c r="S13" s="344" t="e" cm="1">
        <f t="array" ref="S13">_xlfn.XLOOKUP(1, ('0. GUIDELINES'!$E$3=[1]Elasticities!$A:$A) * ("Long"=[1]Elasticities!$B:$B) * ($B$11=[1]Elasticities!$D:$D) * ($C13=[1]Elasticities!$E:$E) * ('2.1 LABOR STRUCTURE'!$E$4=[1]Elasticities!$G:$G), [1]Elasticities!$F:$F)</f>
        <v>#N/A</v>
      </c>
      <c r="T13" s="344" t="e" cm="1">
        <f t="array" ref="T13">_xlfn.XLOOKUP(1, ('0. GUIDELINES'!$E$3=[1]Elasticities!$A:$A) * ("Middle"=[1]Elasticities!$B:$B) * ($B$11=[1]Elasticities!$D:$D) * ($C13=[1]Elasticities!$E:$E) * ('2.1 LABOR STRUCTURE'!$E$4=[1]Elasticities!$G:$G), [1]Elasticities!$F:$F)</f>
        <v>#N/A</v>
      </c>
      <c r="U13" s="344" cm="1">
        <f t="array" ref="U13">_xlfn.XLOOKUP(1, ('0. GUIDELINES'!$E$3=[1]Elasticities!$A:$A) * ("Short"=[1]Elasticities!$B:$B) * ($B$11=[1]Elasticities!$D:$D) * ($C13=[1]Elasticities!$E:$E) * ('2.1 LABOR STRUCTURE'!$E$4=[1]Elasticities!$G:$G), [1]Elasticities!$F:$F)</f>
        <v>0.50885671377182007</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ref="Z13">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ref="AD13">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ref="AF13">_xlfn.XLOOKUP(1, ('0. GUIDELINES'!$E$3='[1]Elasticities by year'!$A:$A) * (AF$10='[1]Elasticities by year'!$B:$B)* ($C13='[1]Elasticities by year'!$C:$C), '[1]Elasticities by year'!$D:$D)</f>
        <v>#N/A</v>
      </c>
      <c r="AG13" s="162" t="e" cm="1">
        <f t="array" ref="AG13">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ref="AL13">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ref="AN13">_xlfn.XLOOKUP(1, ('0. GUIDELINES'!$E$3='[1]Elasticities by year'!$A:$A) * (AN$10='[1]Elasticities by year'!$B:$B)* ($C13='[1]Elasticities by year'!$C:$C), '[1]Elasticities by year'!$D:$D)</f>
        <v>#N/A</v>
      </c>
      <c r="AP13" s="343" t="e">
        <f t="shared" si="1"/>
        <v>#DIV/0!</v>
      </c>
      <c r="AQ13" s="343" t="e">
        <f t="shared" si="2"/>
        <v>#DIV/0!</v>
      </c>
      <c r="AR13" s="343" t="e">
        <f t="shared" si="3"/>
        <v>#DIV/0!</v>
      </c>
      <c r="AU13" s="84"/>
      <c r="AV13" s="84"/>
      <c r="AW13" s="130"/>
      <c r="AX13" s="130"/>
      <c r="AY13" s="84"/>
      <c r="AZ13" s="84"/>
      <c r="BA13" s="84"/>
      <c r="BB13" s="84"/>
    </row>
    <row r="14" spans="1:54" ht="14.25" x14ac:dyDescent="0.2">
      <c r="A14" s="87"/>
      <c r="B14" s="87"/>
      <c r="C14" s="87" t="str">
        <f>IF($S$7="LFS",CONCATENATE("lf",'CONTROL '!$C5),CONCATENATE("hs",'CONTROL '!$C5))</f>
        <v>hsls1_s0_a2</v>
      </c>
      <c r="D14" s="123"/>
      <c r="E14" s="84"/>
      <c r="F14" s="84"/>
      <c r="G14" s="84"/>
      <c r="H14" s="84"/>
      <c r="I14" s="134" t="s">
        <v>616</v>
      </c>
      <c r="J14" s="133"/>
      <c r="K14" s="454">
        <v>2.5030524376671439E-2</v>
      </c>
      <c r="L14" s="133">
        <v>0.10666347144331248</v>
      </c>
      <c r="M14" s="133">
        <v>0.31591582307487337</v>
      </c>
      <c r="N14" s="133">
        <v>0.33630116982473501</v>
      </c>
      <c r="O14" s="406"/>
      <c r="P14" s="344" t="e" cm="1">
        <f t="array" ref="P14">_xlfn.XLOOKUP(1, ('0. GUIDELINES'!$E$3=[1]Elasticities!$A:$A) * ("Long"=[1]Elasticities!$B:$B) * ($A$11=[1]Elasticities!$D:$D) * ($C14=[1]Elasticities!$E:$E) * ('2.1 LABOR STRUCTURE'!$E$4=[1]Elasticities!$G:$G), [1]Elasticities!$F:$F)</f>
        <v>#N/A</v>
      </c>
      <c r="Q14" s="344" t="e" cm="1">
        <f t="array" ref="Q14">_xlfn.XLOOKUP(1, ('0. GUIDELINES'!$E$3=[1]Elasticities!$A:$A) * ("Middle"=[1]Elasticities!$B:$B) * ($A$11=[1]Elasticities!$D:$D) * ($C14=[1]Elasticities!$E:$E) * ('2.1 LABOR STRUCTURE'!$E$4=[1]Elasticities!$G:$G), [1]Elasticities!$F:$F)</f>
        <v>#N/A</v>
      </c>
      <c r="R14" s="454" cm="1">
        <f t="array" ref="R14">_xlfn.XLOOKUP(1, ('0. GUIDELINES'!$E$3=[1]Elasticities!$A:$A) * ("Short"=[1]Elasticities!$B:$B) * ($A$11=[1]Elasticities!$D:$D) * ($C14=[1]Elasticities!$E:$E) * ('2.1 LABOR STRUCTURE'!$E$4=[1]Elasticities!$G:$G), [1]Elasticities!$F:$F)</f>
        <v>0.4157787561416626</v>
      </c>
      <c r="S14" s="344" t="e" cm="1">
        <f t="array" ref="S14">_xlfn.XLOOKUP(1, ('0. GUIDELINES'!$E$3=[1]Elasticities!$A:$A) * ("Long"=[1]Elasticities!$B:$B) * ($B$11=[1]Elasticities!$D:$D) * ($C14=[1]Elasticities!$E:$E) * ('2.1 LABOR STRUCTURE'!$E$4=[1]Elasticities!$G:$G), [1]Elasticities!$F:$F)</f>
        <v>#N/A</v>
      </c>
      <c r="T14" s="344" t="e" cm="1">
        <f t="array" ref="T14">_xlfn.XLOOKUP(1, ('0. GUIDELINES'!$E$3=[1]Elasticities!$A:$A) * ("Middle"=[1]Elasticities!$B:$B) * ($B$11=[1]Elasticities!$D:$D) * ($C14=[1]Elasticities!$E:$E) * ('2.1 LABOR STRUCTURE'!$E$4=[1]Elasticities!$G:$G), [1]Elasticities!$F:$F)</f>
        <v>#N/A</v>
      </c>
      <c r="U14" s="344" cm="1">
        <f t="array" ref="U14">_xlfn.XLOOKUP(1, ('0. GUIDELINES'!$E$3=[1]Elasticities!$A:$A) * ("Short"=[1]Elasticities!$B:$B) * ($B$11=[1]Elasticities!$D:$D) * ($C14=[1]Elasticities!$E:$E) * ('2.1 LABOR STRUCTURE'!$E$4=[1]Elasticities!$G:$G), [1]Elasticities!$F:$F)</f>
        <v>0.47934424877166748</v>
      </c>
      <c r="V14" s="126"/>
      <c r="X14" s="162" t="e" cm="1">
        <f t="array" ref="X14">_xlfn.XLOOKUP(1, ('0. GUIDELINES'!$E$3='[1]Elasticities by year'!$A:$A) * (X$10='[1]Elasticities by year'!$B:$B)* ($C14='[1]Elasticities by year'!$C:$C), '[1]Elasticities by year'!$D:$D)</f>
        <v>#N/A</v>
      </c>
      <c r="Y14" s="162" t="e" cm="1">
        <f t="array" ref="Y14">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ref="AB14">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ref="AE14">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ref="AG14">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ref="AI14">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ref="AK14">_xlfn.XLOOKUP(1, ('0. GUIDELINES'!$E$3='[1]Elasticities by year'!$A:$A) * (AK$10='[1]Elasticities by year'!$B:$B)* ($C14='[1]Elasticities by year'!$C:$C), '[1]Elasticities by year'!$D:$D)</f>
        <v>#N/A</v>
      </c>
      <c r="AL14" s="162" t="e" cm="1">
        <f t="array" ref="AL14">_xlfn.XLOOKUP(1, ('0. GUIDELINES'!$E$3='[1]Elasticities by year'!$A:$A) * (AL$10='[1]Elasticities by year'!$B:$B)* ($C14='[1]Elasticities by year'!$C:$C), '[1]Elasticities by year'!$D:$D)</f>
        <v>#N/A</v>
      </c>
      <c r="AM14" s="162" t="e" cm="1">
        <f t="array" ref="AM14">_xlfn.XLOOKUP(1, ('0. GUIDELINES'!$E$3='[1]Elasticities by year'!$A:$A) * (AM$10='[1]Elasticities by year'!$B:$B)* ($C14='[1]Elasticities by year'!$C:$C), '[1]Elasticities by year'!$D:$D)</f>
        <v>#N/A</v>
      </c>
      <c r="AN14" s="162" t="e" cm="1">
        <f t="array" ref="AN14">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hsls1_s1_a2</v>
      </c>
      <c r="D15" s="123"/>
      <c r="E15" s="84"/>
      <c r="F15" s="84"/>
      <c r="G15" s="84"/>
      <c r="H15" s="84"/>
      <c r="I15" s="134" t="s">
        <v>617</v>
      </c>
      <c r="J15" s="133"/>
      <c r="K15" s="454">
        <v>0.33374032502228701</v>
      </c>
      <c r="L15" s="133">
        <v>0.15392340739068924</v>
      </c>
      <c r="M15" s="133">
        <v>0.45589028069616211</v>
      </c>
      <c r="N15" s="133">
        <f>N14</f>
        <v>0.33630116982473501</v>
      </c>
      <c r="O15" s="406"/>
      <c r="P15" s="344" t="e" cm="1">
        <f t="array" ref="P15">_xlfn.XLOOKUP(1, ('0. GUIDELINES'!$E$3=[1]Elasticities!$A:$A) * ("Long"=[1]Elasticities!$B:$B) * ($A$11=[1]Elasticities!$D:$D) * ($C15=[1]Elasticities!$E:$E) * ('2.1 LABOR STRUCTURE'!$E$4=[1]Elasticities!$G:$G), [1]Elasticities!$F:$F)</f>
        <v>#N/A</v>
      </c>
      <c r="Q15" s="344" t="e" cm="1">
        <f t="array" ref="Q15">_xlfn.XLOOKUP(1, ('0. GUIDELINES'!$E$3=[1]Elasticities!$A:$A) * ("Middle"=[1]Elasticities!$B:$B) * ($A$11=[1]Elasticities!$D:$D) * ($C15=[1]Elasticities!$E:$E) * ('2.1 LABOR STRUCTURE'!$E$4=[1]Elasticities!$G:$G), [1]Elasticities!$F:$F)</f>
        <v>#N/A</v>
      </c>
      <c r="R15" s="454" cm="1">
        <f t="array" ref="R15">_xlfn.XLOOKUP(1, ('0. GUIDELINES'!$E$3=[1]Elasticities!$A:$A) * ("Short"=[1]Elasticities!$B:$B) * ($A$11=[1]Elasticities!$D:$D) * ($C15=[1]Elasticities!$E:$E) * ('2.1 LABOR STRUCTURE'!$E$4=[1]Elasticities!$G:$G), [1]Elasticities!$F:$F)</f>
        <v>1.5607167482376099</v>
      </c>
      <c r="S15" s="344" t="e" cm="1">
        <f t="array" ref="S15">_xlfn.XLOOKUP(1, ('0. GUIDELINES'!$E$3=[1]Elasticities!$A:$A) * ("Long"=[1]Elasticities!$B:$B) * ($B$11=[1]Elasticities!$D:$D) * ($C15=[1]Elasticities!$E:$E) * ('2.1 LABOR STRUCTURE'!$E$4=[1]Elasticities!$G:$G), [1]Elasticities!$F:$F)</f>
        <v>#N/A</v>
      </c>
      <c r="T15" s="344" t="e" cm="1">
        <f t="array" ref="T15">_xlfn.XLOOKUP(1, ('0. GUIDELINES'!$E$3=[1]Elasticities!$A:$A) * ("Middle"=[1]Elasticities!$B:$B) * ($B$11=[1]Elasticities!$D:$D) * ($C15=[1]Elasticities!$E:$E) * ('2.1 LABOR STRUCTURE'!$E$4=[1]Elasticities!$G:$G), [1]Elasticities!$F:$F)</f>
        <v>#N/A</v>
      </c>
      <c r="U15" s="344" cm="1">
        <f t="array" ref="U15">_xlfn.XLOOKUP(1, ('0. GUIDELINES'!$E$3=[1]Elasticities!$A:$A) * ("Short"=[1]Elasticities!$B:$B) * ($B$11=[1]Elasticities!$D:$D) * ($C15=[1]Elasticities!$E:$E) * ('2.1 LABOR STRUCTURE'!$E$4=[1]Elasticities!$G:$G), [1]Elasticities!$F:$F)</f>
        <v>1.3953858613967896</v>
      </c>
      <c r="V15" s="126"/>
      <c r="X15" s="162" t="e" cm="1">
        <f t="array" ref="X15">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ref="Z15">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ref="AB15">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ref="AD15">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ref="AF15">_xlfn.XLOOKUP(1, ('0. GUIDELINES'!$E$3='[1]Elasticities by year'!$A:$A) * (AF$10='[1]Elasticities by year'!$B:$B)* ($C15='[1]Elasticities by year'!$C:$C), '[1]Elasticities by year'!$D:$D)</f>
        <v>#N/A</v>
      </c>
      <c r="AG15" s="162" t="e" cm="1">
        <f t="array" ref="AG15">_xlfn.XLOOKUP(1, ('0. GUIDELINES'!$E$3='[1]Elasticities by year'!$A:$A) * (AG$10='[1]Elasticities by year'!$B:$B)* ($C15='[1]Elasticities by year'!$C:$C), '[1]Elasticities by year'!$D:$D)</f>
        <v>#N/A</v>
      </c>
      <c r="AH15" s="162" t="e" cm="1">
        <f t="array" ref="AH15">_xlfn.XLOOKUP(1, ('0. GUIDELINES'!$E$3='[1]Elasticities by year'!$A:$A) * (AH$10='[1]Elasticities by year'!$B:$B)* ($C15='[1]Elasticities by year'!$C:$C), '[1]Elasticities by year'!$D:$D)</f>
        <v>#N/A</v>
      </c>
      <c r="AI15" s="162" t="e" cm="1">
        <f t="array" ref="AI15">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ref="AL15">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ref="AN15">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hsls1_s0_a3</v>
      </c>
      <c r="D16" s="123"/>
      <c r="E16" s="84"/>
      <c r="F16" s="84"/>
      <c r="G16" s="84"/>
      <c r="H16" s="84"/>
      <c r="I16" s="134" t="s">
        <v>618</v>
      </c>
      <c r="J16" s="133"/>
      <c r="K16" s="454">
        <v>0.46135892940306494</v>
      </c>
      <c r="L16" s="133">
        <v>0.46578978925900194</v>
      </c>
      <c r="M16" s="133">
        <v>0.35226594194165223</v>
      </c>
      <c r="N16" s="133">
        <v>0.1558097969804727</v>
      </c>
      <c r="O16" s="406"/>
      <c r="P16" s="344" t="e" cm="1">
        <f t="array" ref="P16">_xlfn.XLOOKUP(1, ('0. GUIDELINES'!$E$3=[1]Elasticities!$A:$A) * ("Long"=[1]Elasticities!$B:$B) * ($A$11=[1]Elasticities!$D:$D) * ($C16=[1]Elasticities!$E:$E) * ('2.1 LABOR STRUCTURE'!$E$4=[1]Elasticities!$G:$G), [1]Elasticities!$F:$F)</f>
        <v>#N/A</v>
      </c>
      <c r="Q16" s="344" t="e" cm="1">
        <f t="array" ref="Q16">_xlfn.XLOOKUP(1, ('0. GUIDELINES'!$E$3=[1]Elasticities!$A:$A) * ("Middle"=[1]Elasticities!$B:$B) * ($A$11=[1]Elasticities!$D:$D) * ($C16=[1]Elasticities!$E:$E) * ('2.1 LABOR STRUCTURE'!$E$4=[1]Elasticities!$G:$G), [1]Elasticities!$F:$F)</f>
        <v>#N/A</v>
      </c>
      <c r="R16" s="454" cm="1">
        <f t="array" ref="R16">_xlfn.XLOOKUP(1, ('0. GUIDELINES'!$E$3=[1]Elasticities!$A:$A) * ("Short"=[1]Elasticities!$B:$B) * ($A$11=[1]Elasticities!$D:$D) * ($C16=[1]Elasticities!$E:$E) * ('2.1 LABOR STRUCTURE'!$E$4=[1]Elasticities!$G:$G), [1]Elasticities!$F:$F)</f>
        <v>0.31719303131103516</v>
      </c>
      <c r="S16" s="344" t="e" cm="1">
        <f t="array" ref="S16">_xlfn.XLOOKUP(1, ('0. GUIDELINES'!$E$3=[1]Elasticities!$A:$A) * ("Long"=[1]Elasticities!$B:$B) * ($B$11=[1]Elasticities!$D:$D) * ($C16=[1]Elasticities!$E:$E) * ('2.1 LABOR STRUCTURE'!$E$4=[1]Elasticities!$G:$G), [1]Elasticities!$F:$F)</f>
        <v>#N/A</v>
      </c>
      <c r="T16" s="344" t="e" cm="1">
        <f t="array" ref="T16">_xlfn.XLOOKUP(1, ('0. GUIDELINES'!$E$3=[1]Elasticities!$A:$A) * ("Middle"=[1]Elasticities!$B:$B) * ($B$11=[1]Elasticities!$D:$D) * ($C16=[1]Elasticities!$E:$E) * ('2.1 LABOR STRUCTURE'!$E$4=[1]Elasticities!$G:$G), [1]Elasticities!$F:$F)</f>
        <v>#N/A</v>
      </c>
      <c r="U16" s="344" cm="1">
        <f t="array" ref="U16">_xlfn.XLOOKUP(1, ('0. GUIDELINES'!$E$3=[1]Elasticities!$A:$A) * ("Short"=[1]Elasticities!$B:$B) * ($B$11=[1]Elasticities!$D:$D) * ($C16=[1]Elasticities!$E:$E) * ('2.1 LABOR STRUCTURE'!$E$4=[1]Elasticities!$G:$G), [1]Elasticities!$F:$F)</f>
        <v>0.35620963573455811</v>
      </c>
      <c r="V16" s="126"/>
      <c r="X16" s="162" t="e" cm="1">
        <f t="array" ref="X16">_xlfn.XLOOKUP(1, ('0. GUIDELINES'!$E$3='[1]Elasticities by year'!$A:$A) * (X$10='[1]Elasticities by year'!$B:$B)* ($C16='[1]Elasticities by year'!$C:$C), '[1]Elasticities by year'!$D:$D)</f>
        <v>#N/A</v>
      </c>
      <c r="Y16" s="162" t="e" cm="1">
        <f t="array" ref="Y16">_xlfn.XLOOKUP(1, ('0. GUIDELINES'!$E$3='[1]Elasticities by year'!$A:$A) * (Y$10='[1]Elasticities by year'!$B:$B)* ($C16='[1]Elasticities by year'!$C:$C), '[1]Elasticities by year'!$D:$D)</f>
        <v>#N/A</v>
      </c>
      <c r="Z16" s="162" t="e" cm="1">
        <f t="array" ref="Z16">_xlfn.XLOOKUP(1, ('0. GUIDELINES'!$E$3='[1]Elasticities by year'!$A:$A) * (Z$10='[1]Elasticities by year'!$B:$B)* ($C16='[1]Elasticities by year'!$C:$C), '[1]Elasticities by year'!$D:$D)</f>
        <v>#N/A</v>
      </c>
      <c r="AA16" s="162" t="e" cm="1">
        <f t="array" ref="AA16">_xlfn.XLOOKUP(1, ('0. GUIDELINES'!$E$3='[1]Elasticities by year'!$A:$A) * (AA$10='[1]Elasticities by year'!$B:$B)* ($C16='[1]Elasticities by year'!$C:$C), '[1]Elasticities by year'!$D:$D)</f>
        <v>#N/A</v>
      </c>
      <c r="AB16" s="162" t="e" cm="1">
        <f t="array" ref="AB16">_xlfn.XLOOKUP(1, ('0. GUIDELINES'!$E$3='[1]Elasticities by year'!$A:$A) * (AB$10='[1]Elasticities by year'!$B:$B)* ($C16='[1]Elasticities by year'!$C:$C), '[1]Elasticities by year'!$D:$D)</f>
        <v>#N/A</v>
      </c>
      <c r="AC16" s="162" t="e" cm="1">
        <f t="array" ref="AC16">_xlfn.XLOOKUP(1, ('0. GUIDELINES'!$E$3='[1]Elasticities by year'!$A:$A) * (AC$10='[1]Elasticities by year'!$B:$B)* ($C16='[1]Elasticities by year'!$C:$C), '[1]Elasticities by year'!$D:$D)</f>
        <v>#N/A</v>
      </c>
      <c r="AD16" s="162" t="e" cm="1">
        <f t="array" ref="AD16">_xlfn.XLOOKUP(1, ('0. GUIDELINES'!$E$3='[1]Elasticities by year'!$A:$A) * (AD$10='[1]Elasticities by year'!$B:$B)* ($C16='[1]Elasticities by year'!$C:$C), '[1]Elasticities by year'!$D:$D)</f>
        <v>#N/A</v>
      </c>
      <c r="AE16" s="162" t="e" cm="1">
        <f t="array" ref="AE16">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ref="AG16">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ref="AI16">_xlfn.XLOOKUP(1, ('0. GUIDELINES'!$E$3='[1]Elasticities by year'!$A:$A) * (AI$10='[1]Elasticities by year'!$B:$B)* ($C16='[1]Elasticities by year'!$C:$C), '[1]Elasticities by year'!$D:$D)</f>
        <v>#N/A</v>
      </c>
      <c r="AJ16" s="162" t="e" cm="1">
        <f t="array" ref="AJ16">_xlfn.XLOOKUP(1, ('0. GUIDELINES'!$E$3='[1]Elasticities by year'!$A:$A) * (AJ$10='[1]Elasticities by year'!$B:$B)* ($C16='[1]Elasticities by year'!$C:$C), '[1]Elasticities by year'!$D:$D)</f>
        <v>#N/A</v>
      </c>
      <c r="AK16" s="162" t="e" cm="1">
        <f t="array" ref="AK16">_xlfn.XLOOKUP(1, ('0. GUIDELINES'!$E$3='[1]Elasticities by year'!$A:$A) * (AK$10='[1]Elasticities by year'!$B:$B)* ($C16='[1]Elasticities by year'!$C:$C), '[1]Elasticities by year'!$D:$D)</f>
        <v>#N/A</v>
      </c>
      <c r="AL16" s="162" t="e" cm="1">
        <f t="array" ref="AL16">_xlfn.XLOOKUP(1, ('0. GUIDELINES'!$E$3='[1]Elasticities by year'!$A:$A) * (AL$10='[1]Elasticities by year'!$B:$B)* ($C16='[1]Elasticities by year'!$C:$C), '[1]Elasticities by year'!$D:$D)</f>
        <v>#N/A</v>
      </c>
      <c r="AM16" s="162" t="e" cm="1">
        <f t="array" ref="AM16">_xlfn.XLOOKUP(1, ('0. GUIDELINES'!$E$3='[1]Elasticities by year'!$A:$A) * (AM$10='[1]Elasticities by year'!$B:$B)* ($C16='[1]Elasticities by year'!$C:$C), '[1]Elasticities by year'!$D:$D)</f>
        <v>#N/A</v>
      </c>
      <c r="AN16" s="162" t="e" cm="1">
        <f t="array" ref="AN16">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hsls1_s1_a3</v>
      </c>
      <c r="D17" s="123"/>
      <c r="E17" s="84"/>
      <c r="F17" s="84"/>
      <c r="G17" s="84"/>
      <c r="H17" s="84"/>
      <c r="I17" s="134" t="s">
        <v>619</v>
      </c>
      <c r="J17" s="133"/>
      <c r="K17" s="454">
        <v>0.21420236007999494</v>
      </c>
      <c r="L17" s="133">
        <v>0.44054226601427554</v>
      </c>
      <c r="M17" s="133">
        <v>0.33317182961333047</v>
      </c>
      <c r="N17" s="133">
        <v>0.13503515738307634</v>
      </c>
      <c r="O17" s="406"/>
      <c r="P17" s="344" t="e" cm="1">
        <f t="array" ref="P17">_xlfn.XLOOKUP(1, ('0. GUIDELINES'!$E$3=[1]Elasticities!$A:$A) * ("Long"=[1]Elasticities!$B:$B) * ($A$11=[1]Elasticities!$D:$D) * ($C17=[1]Elasticities!$E:$E) * ('2.1 LABOR STRUCTURE'!$E$4=[1]Elasticities!$G:$G), [1]Elasticities!$F:$F)</f>
        <v>#N/A</v>
      </c>
      <c r="Q17" s="344" t="e" cm="1">
        <f t="array" ref="Q17">_xlfn.XLOOKUP(1, ('0. GUIDELINES'!$E$3=[1]Elasticities!$A:$A) * ("Middle"=[1]Elasticities!$B:$B) * ($A$11=[1]Elasticities!$D:$D) * ($C17=[1]Elasticities!$E:$E) * ('2.1 LABOR STRUCTURE'!$E$4=[1]Elasticities!$G:$G), [1]Elasticities!$F:$F)</f>
        <v>#N/A</v>
      </c>
      <c r="R17" s="454" cm="1">
        <f t="array" ref="R17">_xlfn.XLOOKUP(1, ('0. GUIDELINES'!$E$3=[1]Elasticities!$A:$A) * ("Short"=[1]Elasticities!$B:$B) * ($A$11=[1]Elasticities!$D:$D) * ($C17=[1]Elasticities!$E:$E) * ('2.1 LABOR STRUCTURE'!$E$4=[1]Elasticities!$G:$G), [1]Elasticities!$F:$F)</f>
        <v>1.2054864168167114</v>
      </c>
      <c r="S17" s="344" t="e" cm="1">
        <f t="array" ref="S17">_xlfn.XLOOKUP(1, ('0. GUIDELINES'!$E$3=[1]Elasticities!$A:$A) * ("Long"=[1]Elasticities!$B:$B) * ($B$11=[1]Elasticities!$D:$D) * ($C17=[1]Elasticities!$E:$E) * ('2.1 LABOR STRUCTURE'!$E$4=[1]Elasticities!$G:$G), [1]Elasticities!$F:$F)</f>
        <v>#N/A</v>
      </c>
      <c r="T17" s="344" t="e" cm="1">
        <f t="array" ref="T17">_xlfn.XLOOKUP(1, ('0. GUIDELINES'!$E$3=[1]Elasticities!$A:$A) * ("Middle"=[1]Elasticities!$B:$B) * ($B$11=[1]Elasticities!$D:$D) * ($C17=[1]Elasticities!$E:$E) * ('2.1 LABOR STRUCTURE'!$E$4=[1]Elasticities!$G:$G), [1]Elasticities!$F:$F)</f>
        <v>#N/A</v>
      </c>
      <c r="U17" s="344" cm="1">
        <f t="array" ref="U17">_xlfn.XLOOKUP(1, ('0. GUIDELINES'!$E$3=[1]Elasticities!$A:$A) * ("Short"=[1]Elasticities!$B:$B) * ($B$11=[1]Elasticities!$D:$D) * ($C17=[1]Elasticities!$E:$E) * ('2.1 LABOR STRUCTURE'!$E$4=[1]Elasticities!$G:$G), [1]Elasticities!$F:$F)</f>
        <v>1.1686117649078369</v>
      </c>
      <c r="V17" s="126"/>
      <c r="X17" s="162" t="e" cm="1">
        <f t="array" ref="X17">_xlfn.XLOOKUP(1, ('0. GUIDELINES'!$E$3='[1]Elasticities by year'!$A:$A) * (X$10='[1]Elasticities by year'!$B:$B)* ($C17='[1]Elasticities by year'!$C:$C), '[1]Elasticities by year'!$D:$D)</f>
        <v>#N/A</v>
      </c>
      <c r="Y17" s="162" t="e" cm="1">
        <f t="array" ref="Y17">_xlfn.XLOOKUP(1, ('0. GUIDELINES'!$E$3='[1]Elasticities by year'!$A:$A) * (Y$10='[1]Elasticities by year'!$B:$B)* ($C17='[1]Elasticities by year'!$C:$C), '[1]Elasticities by year'!$D:$D)</f>
        <v>#N/A</v>
      </c>
      <c r="Z17" s="162" t="e" cm="1">
        <f t="array" ref="Z17">_xlfn.XLOOKUP(1, ('0. GUIDELINES'!$E$3='[1]Elasticities by year'!$A:$A) * (Z$10='[1]Elasticities by year'!$B:$B)* ($C17='[1]Elasticities by year'!$C:$C), '[1]Elasticities by year'!$D:$D)</f>
        <v>#N/A</v>
      </c>
      <c r="AA17" s="162" t="e" cm="1">
        <f t="array" ref="AA17">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ref="AD17">_xlfn.XLOOKUP(1, ('0. GUIDELINES'!$E$3='[1]Elasticities by year'!$A:$A) * (AD$10='[1]Elasticities by year'!$B:$B)* ($C17='[1]Elasticities by year'!$C:$C), '[1]Elasticities by year'!$D:$D)</f>
        <v>#N/A</v>
      </c>
      <c r="AE17" s="162" t="e" cm="1">
        <f t="array" ref="AE17">_xlfn.XLOOKUP(1, ('0. GUIDELINES'!$E$3='[1]Elasticities by year'!$A:$A) * (AE$10='[1]Elasticities by year'!$B:$B)* ($C17='[1]Elasticities by year'!$C:$C), '[1]Elasticities by year'!$D:$D)</f>
        <v>#N/A</v>
      </c>
      <c r="AF17" s="162" t="e" cm="1">
        <f t="array" ref="AF17">_xlfn.XLOOKUP(1, ('0. GUIDELINES'!$E$3='[1]Elasticities by year'!$A:$A) * (AF$10='[1]Elasticities by year'!$B:$B)* ($C17='[1]Elasticities by year'!$C:$C), '[1]Elasticities by year'!$D:$D)</f>
        <v>#N/A</v>
      </c>
      <c r="AG17" s="162" t="e" cm="1">
        <f t="array" ref="AG17">_xlfn.XLOOKUP(1, ('0. GUIDELINES'!$E$3='[1]Elasticities by year'!$A:$A) * (AG$10='[1]Elasticities by year'!$B:$B)* ($C17='[1]Elasticities by year'!$C:$C), '[1]Elasticities by year'!$D:$D)</f>
        <v>#N/A</v>
      </c>
      <c r="AH17" s="162" t="e" cm="1">
        <f t="array" ref="AH17">_xlfn.XLOOKUP(1, ('0. GUIDELINES'!$E$3='[1]Elasticities by year'!$A:$A) * (AH$10='[1]Elasticities by year'!$B:$B)* ($C17='[1]Elasticities by year'!$C:$C), '[1]Elasticities by year'!$D:$D)</f>
        <v>#N/A</v>
      </c>
      <c r="AI17" s="162" t="e" cm="1">
        <f t="array" ref="AI17">_xlfn.XLOOKUP(1, ('0. GUIDELINES'!$E$3='[1]Elasticities by year'!$A:$A) * (AI$10='[1]Elasticities by year'!$B:$B)* ($C17='[1]Elasticities by year'!$C:$C), '[1]Elasticities by year'!$D:$D)</f>
        <v>#N/A</v>
      </c>
      <c r="AJ17" s="162" t="e" cm="1">
        <f t="array" ref="AJ17">_xlfn.XLOOKUP(1, ('0. GUIDELINES'!$E$3='[1]Elasticities by year'!$A:$A) * (AJ$10='[1]Elasticities by year'!$B:$B)* ($C17='[1]Elasticities by year'!$C:$C), '[1]Elasticities by year'!$D:$D)</f>
        <v>#N/A</v>
      </c>
      <c r="AK17" s="162" t="e" cm="1">
        <f t="array" ref="AK17">_xlfn.XLOOKUP(1, ('0. GUIDELINES'!$E$3='[1]Elasticities by year'!$A:$A) * (AK$10='[1]Elasticities by year'!$B:$B)* ($C17='[1]Elasticities by year'!$C:$C), '[1]Elasticities by year'!$D:$D)</f>
        <v>#N/A</v>
      </c>
      <c r="AL17" s="162" t="e" cm="1">
        <f t="array" ref="AL17">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c r="D18" s="123"/>
      <c r="E18" s="84"/>
      <c r="F18" s="84"/>
      <c r="G18" s="84"/>
      <c r="H18" s="84"/>
      <c r="I18" s="134"/>
      <c r="J18" s="133"/>
      <c r="K18" s="133"/>
      <c r="L18" s="133"/>
      <c r="M18" s="133"/>
      <c r="N18" s="133"/>
      <c r="O18" s="406"/>
      <c r="P18" s="344"/>
      <c r="Q18" s="344"/>
      <c r="R18" s="454"/>
      <c r="S18" s="344"/>
      <c r="T18" s="344"/>
      <c r="U18" s="344"/>
      <c r="V18" s="126"/>
      <c r="X18" s="162" t="e" cm="1">
        <f t="array" ref="X18">_xlfn.XLOOKUP(1, ('0. GUIDELINES'!$E$3='[1]Elasticities by year'!$A:$A) * (X$10='[1]Elasticities by year'!$B:$B)* ($C18='[1]Elasticities by year'!$C:$C), '[1]Elasticities by year'!$D:$D)</f>
        <v>#N/A</v>
      </c>
      <c r="Y18" s="162" t="e" cm="1">
        <f t="array" ref="Y18">_xlfn.XLOOKUP(1, ('0. GUIDELINES'!$E$3='[1]Elasticities by year'!$A:$A) * (Y$10='[1]Elasticities by year'!$B:$B)* ($C18='[1]Elasticities by year'!$C:$C), '[1]Elasticities by year'!$D:$D)</f>
        <v>#N/A</v>
      </c>
      <c r="Z18" s="162" t="e" cm="1">
        <f t="array" ref="Z18">_xlfn.XLOOKUP(1, ('0. GUIDELINES'!$E$3='[1]Elasticities by year'!$A:$A) * (Z$10='[1]Elasticities by year'!$B:$B)* ($C18='[1]Elasticities by year'!$C:$C), '[1]Elasticities by year'!$D:$D)</f>
        <v>#N/A</v>
      </c>
      <c r="AA18" s="162" t="e" cm="1">
        <f t="array" ref="AA18">_xlfn.XLOOKUP(1, ('0. GUIDELINES'!$E$3='[1]Elasticities by year'!$A:$A) * (AA$10='[1]Elasticities by year'!$B:$B)* ($C18='[1]Elasticities by year'!$C:$C), '[1]Elasticities by year'!$D:$D)</f>
        <v>#N/A</v>
      </c>
      <c r="AB18" s="162" t="e" cm="1">
        <f t="array" ref="AB18">_xlfn.XLOOKUP(1, ('0. GUIDELINES'!$E$3='[1]Elasticities by year'!$A:$A) * (AB$10='[1]Elasticities by year'!$B:$B)* ($C18='[1]Elasticities by year'!$C:$C), '[1]Elasticities by year'!$D:$D)</f>
        <v>#N/A</v>
      </c>
      <c r="AC18" s="162" t="e" cm="1">
        <f t="array" ref="AC18">_xlfn.XLOOKUP(1, ('0. GUIDELINES'!$E$3='[1]Elasticities by year'!$A:$A) * (AC$10='[1]Elasticities by year'!$B:$B)* ($C18='[1]Elasticities by year'!$C:$C), '[1]Elasticities by year'!$D:$D)</f>
        <v>#N/A</v>
      </c>
      <c r="AD18" s="162" t="e" cm="1">
        <f t="array" ref="AD18">_xlfn.XLOOKUP(1, ('0. GUIDELINES'!$E$3='[1]Elasticities by year'!$A:$A) * (AD$10='[1]Elasticities by year'!$B:$B)* ($C18='[1]Elasticities by year'!$C:$C), '[1]Elasticities by year'!$D:$D)</f>
        <v>#N/A</v>
      </c>
      <c r="AE18" s="162" t="e" cm="1">
        <f t="array" ref="AE18">_xlfn.XLOOKUP(1, ('0. GUIDELINES'!$E$3='[1]Elasticities by year'!$A:$A) * (AE$10='[1]Elasticities by year'!$B:$B)* ($C18='[1]Elasticities by year'!$C:$C), '[1]Elasticities by year'!$D:$D)</f>
        <v>#N/A</v>
      </c>
      <c r="AF18" s="162" t="e" cm="1">
        <f t="array" ref="AF18">_xlfn.XLOOKUP(1, ('0. GUIDELINES'!$E$3='[1]Elasticities by year'!$A:$A) * (AF$10='[1]Elasticities by year'!$B:$B)* ($C18='[1]Elasticities by year'!$C:$C), '[1]Elasticities by year'!$D:$D)</f>
        <v>#N/A</v>
      </c>
      <c r="AG18" s="162" t="e" cm="1">
        <f t="array" ref="AG18">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ref="AJ18">_xlfn.XLOOKUP(1, ('0. GUIDELINES'!$E$3='[1]Elasticities by year'!$A:$A) * (AJ$10='[1]Elasticities by year'!$B:$B)* ($C18='[1]Elasticities by year'!$C:$C), '[1]Elasticities by year'!$D:$D)</f>
        <v>#N/A</v>
      </c>
      <c r="AK18" s="162" t="e" cm="1">
        <f t="array" ref="AK18">_xlfn.XLOOKUP(1, ('0. GUIDELINES'!$E$3='[1]Elasticities by year'!$A:$A) * (AK$10='[1]Elasticities by year'!$B:$B)* ($C18='[1]Elasticities by year'!$C:$C), '[1]Elasticities by year'!$D:$D)</f>
        <v>#N/A</v>
      </c>
      <c r="AL18" s="162" t="e" cm="1">
        <f t="array" ref="AL18">_xlfn.XLOOKUP(1, ('0. GUIDELINES'!$E$3='[1]Elasticities by year'!$A:$A) * (AL$10='[1]Elasticities by year'!$B:$B)* ($C18='[1]Elasticities by year'!$C:$C), '[1]Elasticities by year'!$D:$D)</f>
        <v>#N/A</v>
      </c>
      <c r="AM18" s="162" t="e" cm="1">
        <f t="array" ref="AM18">_xlfn.XLOOKUP(1, ('0. GUIDELINES'!$E$3='[1]Elasticities by year'!$A:$A) * (AM$10='[1]Elasticities by year'!$B:$B)* ($C18='[1]Elasticities by year'!$C:$C), '[1]Elasticities by year'!$D:$D)</f>
        <v>#N/A</v>
      </c>
      <c r="AN18" s="162" t="e" cm="1">
        <f t="array" ref="AN18">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c r="D19" s="123"/>
      <c r="E19" s="84"/>
      <c r="F19" s="84"/>
      <c r="G19" s="84"/>
      <c r="H19" s="84"/>
      <c r="I19" s="134"/>
      <c r="J19" s="133"/>
      <c r="K19" s="133"/>
      <c r="L19" s="133"/>
      <c r="M19" s="133"/>
      <c r="N19" s="133"/>
      <c r="O19" s="406"/>
      <c r="P19" s="344"/>
      <c r="Q19" s="344"/>
      <c r="R19" s="454"/>
      <c r="S19" s="344"/>
      <c r="T19" s="344"/>
      <c r="U19" s="344"/>
      <c r="V19" s="126"/>
      <c r="X19" s="162" t="e" cm="1">
        <f t="array" ref="X19">_xlfn.XLOOKUP(1, ('0. GUIDELINES'!$E$3='[1]Elasticities by year'!$A:$A) * (X$10='[1]Elasticities by year'!$B:$B)* ($C19='[1]Elasticities by year'!$C:$C), '[1]Elasticities by year'!$D:$D)</f>
        <v>#N/A</v>
      </c>
      <c r="Y19" s="162" t="e" cm="1">
        <f t="array" ref="Y19">_xlfn.XLOOKUP(1, ('0. GUIDELINES'!$E$3='[1]Elasticities by year'!$A:$A) * (Y$10='[1]Elasticities by year'!$B:$B)* ($C19='[1]Elasticities by year'!$C:$C), '[1]Elasticities by year'!$D:$D)</f>
        <v>#N/A</v>
      </c>
      <c r="Z19" s="162" t="e" cm="1">
        <f t="array" ref="Z19">_xlfn.XLOOKUP(1, ('0. GUIDELINES'!$E$3='[1]Elasticities by year'!$A:$A) * (Z$10='[1]Elasticities by year'!$B:$B)* ($C19='[1]Elasticities by year'!$C:$C), '[1]Elasticities by year'!$D:$D)</f>
        <v>#N/A</v>
      </c>
      <c r="AA19" s="162" t="e" cm="1">
        <f t="array" ref="AA19">_xlfn.XLOOKUP(1, ('0. GUIDELINES'!$E$3='[1]Elasticities by year'!$A:$A) * (AA$10='[1]Elasticities by year'!$B:$B)* ($C19='[1]Elasticities by year'!$C:$C), '[1]Elasticities by year'!$D:$D)</f>
        <v>#N/A</v>
      </c>
      <c r="AB19" s="162" t="e" cm="1">
        <f t="array" ref="AB19">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ref="AE19">_xlfn.XLOOKUP(1, ('0. GUIDELINES'!$E$3='[1]Elasticities by year'!$A:$A) * (AE$10='[1]Elasticities by year'!$B:$B)* ($C19='[1]Elasticities by year'!$C:$C), '[1]Elasticities by year'!$D:$D)</f>
        <v>#N/A</v>
      </c>
      <c r="AF19" s="162" t="e" cm="1">
        <f t="array" ref="AF19">_xlfn.XLOOKUP(1, ('0. GUIDELINES'!$E$3='[1]Elasticities by year'!$A:$A) * (AF$10='[1]Elasticities by year'!$B:$B)* ($C19='[1]Elasticities by year'!$C:$C), '[1]Elasticities by year'!$D:$D)</f>
        <v>#N/A</v>
      </c>
      <c r="AG19" s="162" t="e" cm="1">
        <f t="array" ref="AG19">_xlfn.XLOOKUP(1, ('0. GUIDELINES'!$E$3='[1]Elasticities by year'!$A:$A) * (AG$10='[1]Elasticities by year'!$B:$B)* ($C19='[1]Elasticities by year'!$C:$C), '[1]Elasticities by year'!$D:$D)</f>
        <v>#N/A</v>
      </c>
      <c r="AH19" s="162" t="e" cm="1">
        <f t="array" ref="AH19">_xlfn.XLOOKUP(1, ('0. GUIDELINES'!$E$3='[1]Elasticities by year'!$A:$A) * (AH$10='[1]Elasticities by year'!$B:$B)* ($C19='[1]Elasticities by year'!$C:$C), '[1]Elasticities by year'!$D:$D)</f>
        <v>#N/A</v>
      </c>
      <c r="AI19" s="162" t="e" cm="1">
        <f t="array" ref="AI19">_xlfn.XLOOKUP(1, ('0. GUIDELINES'!$E$3='[1]Elasticities by year'!$A:$A) * (AI$10='[1]Elasticities by year'!$B:$B)* ($C19='[1]Elasticities by year'!$C:$C), '[1]Elasticities by year'!$D:$D)</f>
        <v>#N/A</v>
      </c>
      <c r="AJ19" s="162" t="e" cm="1">
        <f t="array" ref="AJ19">_xlfn.XLOOKUP(1, ('0. GUIDELINES'!$E$3='[1]Elasticities by year'!$A:$A) * (AJ$10='[1]Elasticities by year'!$B:$B)* ($C19='[1]Elasticities by year'!$C:$C), '[1]Elasticities by year'!$D:$D)</f>
        <v>#N/A</v>
      </c>
      <c r="AK19" s="162" t="e" cm="1">
        <f t="array" ref="AK19">_xlfn.XLOOKUP(1, ('0. GUIDELINES'!$E$3='[1]Elasticities by year'!$A:$A) * (AK$10='[1]Elasticities by year'!$B:$B)* ($C19='[1]Elasticities by year'!$C:$C), '[1]Elasticities by year'!$D:$D)</f>
        <v>#N/A</v>
      </c>
      <c r="AL19" s="162" t="e" cm="1">
        <f t="array" ref="AL19">_xlfn.XLOOKUP(1, ('0. GUIDELINES'!$E$3='[1]Elasticities by year'!$A:$A) * (AL$10='[1]Elasticities by year'!$B:$B)* ($C19='[1]Elasticities by year'!$C:$C), '[1]Elasticities by year'!$D:$D)</f>
        <v>#N/A</v>
      </c>
      <c r="AM19" s="162" t="e" cm="1">
        <f t="array" ref="AM19">_xlfn.XLOOKUP(1, ('0. GUIDELINES'!$E$3='[1]Elasticities by year'!$A:$A) * (AM$10='[1]Elasticities by year'!$B:$B)* ($C19='[1]Elasticities by year'!$C:$C), '[1]Elasticities by year'!$D:$D)</f>
        <v>#N/A</v>
      </c>
      <c r="AN19" s="162" t="e" cm="1">
        <f t="array" ref="AN19">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c r="D20" s="123"/>
      <c r="E20" s="84"/>
      <c r="F20" s="84"/>
      <c r="G20" s="84"/>
      <c r="H20" s="84"/>
      <c r="I20" s="134"/>
      <c r="J20" s="133"/>
      <c r="K20" s="133"/>
      <c r="L20" s="133"/>
      <c r="M20" s="133"/>
      <c r="N20" s="133"/>
      <c r="O20" s="341"/>
      <c r="P20" s="344"/>
      <c r="Q20" s="344"/>
      <c r="R20" s="454"/>
      <c r="S20" s="344"/>
      <c r="T20" s="344"/>
      <c r="U20" s="344"/>
      <c r="V20" s="126"/>
      <c r="X20" s="162" t="e" cm="1">
        <f t="array" ref="X20">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ref="Z20">_xlfn.XLOOKUP(1, ('0. GUIDELINES'!$E$3='[1]Elasticities by year'!$A:$A) * (Z$10='[1]Elasticities by year'!$B:$B)* ($C20='[1]Elasticities by year'!$C:$C), '[1]Elasticities by year'!$D:$D)</f>
        <v>#N/A</v>
      </c>
      <c r="AA20" s="162" t="e" cm="1">
        <f t="array" ref="AA20">_xlfn.XLOOKUP(1, ('0. GUIDELINES'!$E$3='[1]Elasticities by year'!$A:$A) * (AA$10='[1]Elasticities by year'!$B:$B)* ($C20='[1]Elasticities by year'!$C:$C), '[1]Elasticities by year'!$D:$D)</f>
        <v>#N/A</v>
      </c>
      <c r="AB20" s="162" t="e" cm="1">
        <f t="array" ref="AB20">_xlfn.XLOOKUP(1, ('0. GUIDELINES'!$E$3='[1]Elasticities by year'!$A:$A) * (AB$10='[1]Elasticities by year'!$B:$B)* ($C20='[1]Elasticities by year'!$C:$C), '[1]Elasticities by year'!$D:$D)</f>
        <v>#N/A</v>
      </c>
      <c r="AC20" s="162" t="e" cm="1">
        <f t="array" ref="AC20">_xlfn.XLOOKUP(1, ('0. GUIDELINES'!$E$3='[1]Elasticities by year'!$A:$A) * (AC$10='[1]Elasticities by year'!$B:$B)* ($C20='[1]Elasticities by year'!$C:$C), '[1]Elasticities by year'!$D:$D)</f>
        <v>#N/A</v>
      </c>
      <c r="AD20" s="162" t="e" cm="1">
        <f t="array" ref="AD20">_xlfn.XLOOKUP(1, ('0. GUIDELINES'!$E$3='[1]Elasticities by year'!$A:$A) * (AD$10='[1]Elasticities by year'!$B:$B)* ($C20='[1]Elasticities by year'!$C:$C), '[1]Elasticities by year'!$D:$D)</f>
        <v>#N/A</v>
      </c>
      <c r="AE20" s="162" t="e" cm="1">
        <f t="array" ref="AE20">_xlfn.XLOOKUP(1, ('0. GUIDELINES'!$E$3='[1]Elasticities by year'!$A:$A) * (AE$10='[1]Elasticities by year'!$B:$B)* ($C20='[1]Elasticities by year'!$C:$C), '[1]Elasticities by year'!$D:$D)</f>
        <v>#N/A</v>
      </c>
      <c r="AF20" s="162" t="e" cm="1">
        <f t="array" ref="AF20">_xlfn.XLOOKUP(1, ('0. GUIDELINES'!$E$3='[1]Elasticities by year'!$A:$A) * (AF$10='[1]Elasticities by year'!$B:$B)* ($C20='[1]Elasticities by year'!$C:$C), '[1]Elasticities by year'!$D:$D)</f>
        <v>#N/A</v>
      </c>
      <c r="AG20" s="162" t="e" cm="1">
        <f t="array" ref="AG20">_xlfn.XLOOKUP(1, ('0. GUIDELINES'!$E$3='[1]Elasticities by year'!$A:$A) * (AG$10='[1]Elasticities by year'!$B:$B)* ($C20='[1]Elasticities by year'!$C:$C), '[1]Elasticities by year'!$D:$D)</f>
        <v>#N/A</v>
      </c>
      <c r="AH20" s="162" t="e" cm="1">
        <f t="array" ref="AH20">_xlfn.XLOOKUP(1, ('0. GUIDELINES'!$E$3='[1]Elasticities by year'!$A:$A) * (AH$10='[1]Elasticities by year'!$B:$B)* ($C20='[1]Elasticities by year'!$C:$C), '[1]Elasticities by year'!$D:$D)</f>
        <v>#N/A</v>
      </c>
      <c r="AI20" s="162" t="e" cm="1">
        <f t="array" ref="AI20">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ref="AL20">_xlfn.XLOOKUP(1, ('0. GUIDELINES'!$E$3='[1]Elasticities by year'!$A:$A) * (AL$10='[1]Elasticities by year'!$B:$B)* ($C20='[1]Elasticities by year'!$C:$C), '[1]Elasticities by year'!$D:$D)</f>
        <v>#N/A</v>
      </c>
      <c r="AM20" s="162" t="e" cm="1">
        <f t="array" ref="AM20">_xlfn.XLOOKUP(1, ('0. GUIDELINES'!$E$3='[1]Elasticities by year'!$A:$A) * (AM$10='[1]Elasticities by year'!$B:$B)* ($C20='[1]Elasticities by year'!$C:$C), '[1]Elasticities by year'!$D:$D)</f>
        <v>#N/A</v>
      </c>
      <c r="AN20" s="162" t="e" cm="1">
        <f t="array" ref="AN20">_xlfn.XLOOKUP(1, ('0. GUIDELINES'!$E$3='[1]Elasticities by year'!$A:$A) * (AN$10='[1]Elasticities by year'!$B:$B)* ($C20='[1]Elasticities by year'!$C:$C), '[1]Elasticities by year'!$D:$D)</f>
        <v>#N/A</v>
      </c>
      <c r="AP20" s="343" t="e">
        <f t="shared" si="1"/>
        <v>#DIV/0!</v>
      </c>
      <c r="AQ20" s="343" t="e">
        <f t="shared" si="2"/>
        <v>#DIV/0!</v>
      </c>
      <c r="AR20" s="343" t="e">
        <f t="shared" si="3"/>
        <v>#DIV/0!</v>
      </c>
      <c r="AU20" s="84"/>
      <c r="AV20" s="84"/>
      <c r="AW20" s="130"/>
      <c r="AX20" s="130"/>
      <c r="AY20" s="84"/>
      <c r="AZ20" s="84"/>
      <c r="BA20" s="84"/>
      <c r="BB20" s="84"/>
    </row>
    <row r="21" spans="1:54" ht="14.25" x14ac:dyDescent="0.2">
      <c r="A21" s="87"/>
      <c r="B21" s="87"/>
      <c r="C21" s="87"/>
      <c r="D21" s="123"/>
      <c r="E21" s="84"/>
      <c r="F21" s="84"/>
      <c r="G21" s="84"/>
      <c r="H21" s="84"/>
      <c r="I21" s="134"/>
      <c r="J21" s="133"/>
      <c r="K21" s="133"/>
      <c r="L21" s="133"/>
      <c r="M21" s="133"/>
      <c r="N21" s="133"/>
      <c r="O21" s="341"/>
      <c r="P21" s="344"/>
      <c r="Q21" s="344"/>
      <c r="R21" s="454"/>
      <c r="S21" s="344"/>
      <c r="T21" s="344"/>
      <c r="U21" s="344"/>
      <c r="V21" s="126"/>
      <c r="X21" s="162" t="e" cm="1">
        <f t="array" ref="X21">_xlfn.XLOOKUP(1, ('0. GUIDELINES'!$E$3='[1]Elasticities by year'!$A:$A) * (X$10='[1]Elasticities by year'!$B:$B)* ($C21='[1]Elasticities by year'!$C:$C), '[1]Elasticities by year'!$D:$D)</f>
        <v>#N/A</v>
      </c>
      <c r="Y21" s="162" t="e" cm="1">
        <f t="array" ref="Y21">_xlfn.XLOOKUP(1, ('0. GUIDELINES'!$E$3='[1]Elasticities by year'!$A:$A) * (Y$10='[1]Elasticities by year'!$B:$B)* ($C21='[1]Elasticities by year'!$C:$C), '[1]Elasticities by year'!$D:$D)</f>
        <v>#N/A</v>
      </c>
      <c r="Z21" s="162" t="e" cm="1">
        <f t="array" ref="Z21">_xlfn.XLOOKUP(1, ('0. GUIDELINES'!$E$3='[1]Elasticities by year'!$A:$A) * (Z$10='[1]Elasticities by year'!$B:$B)* ($C21='[1]Elasticities by year'!$C:$C), '[1]Elasticities by year'!$D:$D)</f>
        <v>#N/A</v>
      </c>
      <c r="AA21" s="162" t="e" cm="1">
        <f t="array" ref="AA21">_xlfn.XLOOKUP(1, ('0. GUIDELINES'!$E$3='[1]Elasticities by year'!$A:$A) * (AA$10='[1]Elasticities by year'!$B:$B)* ($C21='[1]Elasticities by year'!$C:$C), '[1]Elasticities by year'!$D:$D)</f>
        <v>#N/A</v>
      </c>
      <c r="AB21" s="162" t="e" cm="1">
        <f t="array" ref="AB21">_xlfn.XLOOKUP(1, ('0. GUIDELINES'!$E$3='[1]Elasticities by year'!$A:$A) * (AB$10='[1]Elasticities by year'!$B:$B)* ($C21='[1]Elasticities by year'!$C:$C), '[1]Elasticities by year'!$D:$D)</f>
        <v>#N/A</v>
      </c>
      <c r="AC21" s="162" t="e" cm="1">
        <f t="array" ref="AC21">_xlfn.XLOOKUP(1, ('0. GUIDELINES'!$E$3='[1]Elasticities by year'!$A:$A) * (AC$10='[1]Elasticities by year'!$B:$B)* ($C21='[1]Elasticities by year'!$C:$C), '[1]Elasticities by year'!$D:$D)</f>
        <v>#N/A</v>
      </c>
      <c r="AD21" s="162" t="e" cm="1">
        <f t="array" ref="AD2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ref="AG21">_xlfn.XLOOKUP(1, ('0. GUIDELINES'!$E$3='[1]Elasticities by year'!$A:$A) * (AG$10='[1]Elasticities by year'!$B:$B)* ($C21='[1]Elasticities by year'!$C:$C), '[1]Elasticities by year'!$D:$D)</f>
        <v>#N/A</v>
      </c>
      <c r="AH21" s="162" t="e" cm="1">
        <f t="array" ref="AH21">_xlfn.XLOOKUP(1, ('0. GUIDELINES'!$E$3='[1]Elasticities by year'!$A:$A) * (AH$10='[1]Elasticities by year'!$B:$B)* ($C21='[1]Elasticities by year'!$C:$C), '[1]Elasticities by year'!$D:$D)</f>
        <v>#N/A</v>
      </c>
      <c r="AI21" s="162" t="e" cm="1">
        <f t="array" ref="AI21">_xlfn.XLOOKUP(1, ('0. GUIDELINES'!$E$3='[1]Elasticities by year'!$A:$A) * (AI$10='[1]Elasticities by year'!$B:$B)* ($C21='[1]Elasticities by year'!$C:$C), '[1]Elasticities by year'!$D:$D)</f>
        <v>#N/A</v>
      </c>
      <c r="AJ21" s="162" t="e" cm="1">
        <f t="array" ref="AJ21">_xlfn.XLOOKUP(1, ('0. GUIDELINES'!$E$3='[1]Elasticities by year'!$A:$A) * (AJ$10='[1]Elasticities by year'!$B:$B)* ($C21='[1]Elasticities by year'!$C:$C), '[1]Elasticities by year'!$D:$D)</f>
        <v>#N/A</v>
      </c>
      <c r="AK21" s="162" t="e" cm="1">
        <f t="array" ref="AK21">_xlfn.XLOOKUP(1, ('0. GUIDELINES'!$E$3='[1]Elasticities by year'!$A:$A) * (AK$10='[1]Elasticities by year'!$B:$B)* ($C21='[1]Elasticities by year'!$C:$C), '[1]Elasticities by year'!$D:$D)</f>
        <v>#N/A</v>
      </c>
      <c r="AL21" s="162" t="e" cm="1">
        <f t="array" ref="AL21">_xlfn.XLOOKUP(1, ('0. GUIDELINES'!$E$3='[1]Elasticities by year'!$A:$A) * (AL$10='[1]Elasticities by year'!$B:$B)* ($C21='[1]Elasticities by year'!$C:$C), '[1]Elasticities by year'!$D:$D)</f>
        <v>#N/A</v>
      </c>
      <c r="AM21" s="162" t="e" cm="1">
        <f t="array" ref="AM21">_xlfn.XLOOKUP(1, ('0. GUIDELINES'!$E$3='[1]Elasticities by year'!$A:$A) * (AM$10='[1]Elasticities by year'!$B:$B)* ($C21='[1]Elasticities by year'!$C:$C), '[1]Elasticities by year'!$D:$D)</f>
        <v>#N/A</v>
      </c>
      <c r="AN21" s="162" t="e" cm="1">
        <f t="array" ref="AN21">_xlfn.XLOOKUP(1, ('0. GUIDELINES'!$E$3='[1]Elasticities by year'!$A:$A) * (AN$10='[1]Elasticities by year'!$B:$B)* ($C21='[1]Elasticities by year'!$C:$C), '[1]Elasticities by year'!$D:$D)</f>
        <v>#N/A</v>
      </c>
      <c r="AP21" s="343" t="e">
        <f t="shared" si="1"/>
        <v>#DIV/0!</v>
      </c>
      <c r="AQ21" s="343" t="e">
        <f t="shared" si="2"/>
        <v>#DIV/0!</v>
      </c>
      <c r="AR21" s="343" t="e">
        <f t="shared" si="3"/>
        <v>#DIV/0!</v>
      </c>
      <c r="AU21" s="84"/>
      <c r="AV21" s="84"/>
      <c r="AW21" s="130"/>
      <c r="AX21" s="130"/>
      <c r="AY21" s="84"/>
      <c r="AZ21" s="84"/>
      <c r="BA21" s="84"/>
      <c r="BB21" s="84"/>
    </row>
    <row r="22" spans="1:54" ht="14.25" x14ac:dyDescent="0.2">
      <c r="A22" s="87"/>
      <c r="B22" s="87"/>
      <c r="C22" s="87"/>
      <c r="D22" s="123"/>
      <c r="E22" s="84"/>
      <c r="F22" s="84"/>
      <c r="G22" s="84"/>
      <c r="H22" s="84"/>
      <c r="I22" s="134"/>
      <c r="J22" s="133"/>
      <c r="K22" s="133"/>
      <c r="L22" s="133"/>
      <c r="M22" s="133"/>
      <c r="N22" s="133"/>
      <c r="O22" s="341"/>
      <c r="P22" s="344"/>
      <c r="Q22" s="344"/>
      <c r="R22" s="454"/>
      <c r="S22" s="344"/>
      <c r="T22" s="344"/>
      <c r="U22" s="344"/>
      <c r="V22" s="126"/>
      <c r="X22" s="162" t="e" cm="1">
        <f t="array" ref="X22">_xlfn.XLOOKUP(1, ('0. GUIDELINES'!$E$3='[1]Elasticities by year'!$A:$A) * (X$10='[1]Elasticities by year'!$B:$B)* ($C22='[1]Elasticities by year'!$C:$C), '[1]Elasticities by year'!$D:$D)</f>
        <v>#N/A</v>
      </c>
      <c r="Y22" s="162" t="e" cm="1">
        <f t="array" ref="Y22">_xlfn.XLOOKUP(1, ('0. GUIDELINES'!$E$3='[1]Elasticities by year'!$A:$A) * (Y$10='[1]Elasticities by year'!$B:$B)* ($C22='[1]Elasticities by year'!$C:$C), '[1]Elasticities by year'!$D:$D)</f>
        <v>#N/A</v>
      </c>
      <c r="Z22" s="162" t="e" cm="1">
        <f t="array" ref="Z22">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ref="AB22">_xlfn.XLOOKUP(1, ('0. GUIDELINES'!$E$3='[1]Elasticities by year'!$A:$A) * (AB$10='[1]Elasticities by year'!$B:$B)* ($C22='[1]Elasticities by year'!$C:$C), '[1]Elasticities by year'!$D:$D)</f>
        <v>#N/A</v>
      </c>
      <c r="AC22" s="162" t="e" cm="1">
        <f t="array" ref="AC22">_xlfn.XLOOKUP(1, ('0. GUIDELINES'!$E$3='[1]Elasticities by year'!$A:$A) * (AC$10='[1]Elasticities by year'!$B:$B)* ($C22='[1]Elasticities by year'!$C:$C), '[1]Elasticities by year'!$D:$D)</f>
        <v>#N/A</v>
      </c>
      <c r="AD22" s="162" t="e" cm="1">
        <f t="array" ref="AD22">_xlfn.XLOOKUP(1, ('0. GUIDELINES'!$E$3='[1]Elasticities by year'!$A:$A) * (AD$10='[1]Elasticities by year'!$B:$B)* ($C22='[1]Elasticities by year'!$C:$C), '[1]Elasticities by year'!$D:$D)</f>
        <v>#N/A</v>
      </c>
      <c r="AE22" s="162" t="e" cm="1">
        <f t="array" ref="AE22">_xlfn.XLOOKUP(1, ('0. GUIDELINES'!$E$3='[1]Elasticities by year'!$A:$A) * (AE$10='[1]Elasticities by year'!$B:$B)* ($C22='[1]Elasticities by year'!$C:$C), '[1]Elasticities by year'!$D:$D)</f>
        <v>#N/A</v>
      </c>
      <c r="AF22" s="162" t="e" cm="1">
        <f t="array" ref="AF22">_xlfn.XLOOKUP(1, ('0. GUIDELINES'!$E$3='[1]Elasticities by year'!$A:$A) * (AF$10='[1]Elasticities by year'!$B:$B)* ($C22='[1]Elasticities by year'!$C:$C), '[1]Elasticities by year'!$D:$D)</f>
        <v>#N/A</v>
      </c>
      <c r="AG22" s="162" t="e" cm="1">
        <f t="array" ref="AG22">_xlfn.XLOOKUP(1, ('0. GUIDELINES'!$E$3='[1]Elasticities by year'!$A:$A) * (AG$10='[1]Elasticities by year'!$B:$B)* ($C22='[1]Elasticities by year'!$C:$C), '[1]Elasticities by year'!$D:$D)</f>
        <v>#N/A</v>
      </c>
      <c r="AH22" s="162" t="e" cm="1">
        <f t="array" ref="AH22">_xlfn.XLOOKUP(1, ('0. GUIDELINES'!$E$3='[1]Elasticities by year'!$A:$A) * (AH$10='[1]Elasticities by year'!$B:$B)* ($C22='[1]Elasticities by year'!$C:$C), '[1]Elasticities by year'!$D:$D)</f>
        <v>#N/A</v>
      </c>
      <c r="AI22" s="162" t="e" cm="1">
        <f t="array" ref="AI22">_xlfn.XLOOKUP(1, ('0. GUIDELINES'!$E$3='[1]Elasticities by year'!$A:$A) * (AI$10='[1]Elasticities by year'!$B:$B)* ($C22='[1]Elasticities by year'!$C:$C), '[1]Elasticities by year'!$D:$D)</f>
        <v>#N/A</v>
      </c>
      <c r="AJ22" s="162" t="e" cm="1">
        <f t="array" ref="AJ22">_xlfn.XLOOKUP(1, ('0. GUIDELINES'!$E$3='[1]Elasticities by year'!$A:$A) * (AJ$10='[1]Elasticities by year'!$B:$B)* ($C22='[1]Elasticities by year'!$C:$C), '[1]Elasticities by year'!$D:$D)</f>
        <v>#N/A</v>
      </c>
      <c r="AK22" s="162" t="e" cm="1">
        <f t="array" ref="AK22">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ref="AM22">_xlfn.XLOOKUP(1, ('0. GUIDELINES'!$E$3='[1]Elasticities by year'!$A:$A) * (AM$10='[1]Elasticities by year'!$B:$B)* ($C22='[1]Elasticities by year'!$C:$C), '[1]Elasticities by year'!$D:$D)</f>
        <v>#N/A</v>
      </c>
      <c r="AN22" s="162" t="e" cm="1">
        <f t="array" ref="AN22">_xlfn.XLOOKUP(1, ('0. GUIDELINES'!$E$3='[1]Elasticities by year'!$A:$A) * (AN$10='[1]Elasticities by year'!$B:$B)* ($C22='[1]Elasticities by year'!$C:$C), '[1]Elasticities by year'!$D:$D)</f>
        <v>#N/A</v>
      </c>
      <c r="AP22" s="343" t="e">
        <f t="shared" si="1"/>
        <v>#DIV/0!</v>
      </c>
      <c r="AQ22" s="343" t="e">
        <f t="shared" si="2"/>
        <v>#DIV/0!</v>
      </c>
      <c r="AR22" s="343" t="e">
        <f t="shared" si="3"/>
        <v>#DIV/0!</v>
      </c>
      <c r="AU22" s="84"/>
      <c r="AV22" s="84"/>
      <c r="AW22" s="130"/>
      <c r="AX22" s="130"/>
      <c r="AY22" s="84"/>
      <c r="AZ22" s="84"/>
      <c r="BA22" s="84"/>
      <c r="BB22" s="84"/>
    </row>
    <row r="23" spans="1:54" ht="14.25" x14ac:dyDescent="0.2">
      <c r="A23" s="87"/>
      <c r="B23" s="87"/>
      <c r="C23" s="87"/>
      <c r="D23" s="123"/>
      <c r="E23" s="84"/>
      <c r="F23" s="84"/>
      <c r="G23" s="84"/>
      <c r="H23" s="84"/>
      <c r="I23" s="160"/>
      <c r="J23" s="161"/>
      <c r="K23" s="133"/>
      <c r="L23" s="133"/>
      <c r="M23" s="133"/>
      <c r="N23" s="133"/>
      <c r="O23" s="341"/>
      <c r="P23" s="346"/>
      <c r="Q23" s="346"/>
      <c r="R23" s="454"/>
      <c r="S23" s="346"/>
      <c r="T23" s="346"/>
      <c r="U23" s="346"/>
      <c r="V23" s="126"/>
      <c r="X23" s="163" t="e" cm="1">
        <f t="array" ref="X23">_xlfn.XLOOKUP(1, ('0. GUIDELINES'!$E$3='[1]Elasticities by year'!$A:$A) * (X$10='[1]Elasticities by year'!$B:$B)* ($C23='[1]Elasticities by year'!$C:$C), '[1]Elasticities by year'!$D:$D)</f>
        <v>#N/A</v>
      </c>
      <c r="Y23" s="163" t="e" cm="1">
        <f t="array" ref="Y23">_xlfn.XLOOKUP(1, ('0. GUIDELINES'!$E$3='[1]Elasticities by year'!$A:$A) * (Y$10='[1]Elasticities by year'!$B:$B)* ($C23='[1]Elasticities by year'!$C:$C), '[1]Elasticities by year'!$D:$D)</f>
        <v>#N/A</v>
      </c>
      <c r="Z23" s="163" t="e" cm="1">
        <f t="array" ref="Z23">_xlfn.XLOOKUP(1, ('0. GUIDELINES'!$E$3='[1]Elasticities by year'!$A:$A) * (Z$10='[1]Elasticities by year'!$B:$B)* ($C23='[1]Elasticities by year'!$C:$C), '[1]Elasticities by year'!$D:$D)</f>
        <v>#N/A</v>
      </c>
      <c r="AA23" s="163" t="e" cm="1">
        <f t="array" ref="AA23">_xlfn.XLOOKUP(1, ('0. GUIDELINES'!$E$3='[1]Elasticities by year'!$A:$A) * (AA$10='[1]Elasticities by year'!$B:$B)* ($C23='[1]Elasticities by year'!$C:$C), '[1]Elasticities by year'!$D:$D)</f>
        <v>#N/A</v>
      </c>
      <c r="AB23" s="163" t="e" cm="1">
        <f t="array" ref="AB23">_xlfn.XLOOKUP(1, ('0. GUIDELINES'!$E$3='[1]Elasticities by year'!$A:$A) * (AB$10='[1]Elasticities by year'!$B:$B)* ($C23='[1]Elasticities by year'!$C:$C), '[1]Elasticities by year'!$D:$D)</f>
        <v>#N/A</v>
      </c>
      <c r="AC23" s="163" t="e" cm="1">
        <f t="array" ref="AC23">_xlfn.XLOOKUP(1, ('0. GUIDELINES'!$E$3='[1]Elasticities by year'!$A:$A) * (AC$10='[1]Elasticities by year'!$B:$B)* ($C23='[1]Elasticities by year'!$C:$C), '[1]Elasticities by year'!$D:$D)</f>
        <v>#N/A</v>
      </c>
      <c r="AD23" s="163" t="e" cm="1">
        <f t="array" ref="AD23">_xlfn.XLOOKUP(1, ('0. GUIDELINES'!$E$3='[1]Elasticities by year'!$A:$A) * (AD$10='[1]Elasticities by year'!$B:$B)* ($C23='[1]Elasticities by year'!$C:$C), '[1]Elasticities by year'!$D:$D)</f>
        <v>#N/A</v>
      </c>
      <c r="AE23" s="163" t="e" cm="1">
        <f t="array" ref="AE23">_xlfn.XLOOKUP(1, ('0. GUIDELINES'!$E$3='[1]Elasticities by year'!$A:$A) * (AE$10='[1]Elasticities by year'!$B:$B)* ($C23='[1]Elasticities by year'!$C:$C), '[1]Elasticities by year'!$D:$D)</f>
        <v>#N/A</v>
      </c>
      <c r="AF23" s="163" t="e" cm="1">
        <f t="array" ref="AF23">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ref="AH23">_xlfn.XLOOKUP(1, ('0. GUIDELINES'!$E$3='[1]Elasticities by year'!$A:$A) * (AH$10='[1]Elasticities by year'!$B:$B)* ($C23='[1]Elasticities by year'!$C:$C), '[1]Elasticities by year'!$D:$D)</f>
        <v>#N/A</v>
      </c>
      <c r="AI23" s="163" t="e" cm="1">
        <f t="array" ref="AI23">_xlfn.XLOOKUP(1, ('0. GUIDELINES'!$E$3='[1]Elasticities by year'!$A:$A) * (AI$10='[1]Elasticities by year'!$B:$B)* ($C23='[1]Elasticities by year'!$C:$C), '[1]Elasticities by year'!$D:$D)</f>
        <v>#N/A</v>
      </c>
      <c r="AJ23" s="163" t="e" cm="1">
        <f t="array" ref="AJ23">_xlfn.XLOOKUP(1, ('0. GUIDELINES'!$E$3='[1]Elasticities by year'!$A:$A) * (AJ$10='[1]Elasticities by year'!$B:$B)* ($C23='[1]Elasticities by year'!$C:$C), '[1]Elasticities by year'!$D:$D)</f>
        <v>#N/A</v>
      </c>
      <c r="AK23" s="163" t="e" cm="1">
        <f t="array" ref="AK23">_xlfn.XLOOKUP(1, ('0. GUIDELINES'!$E$3='[1]Elasticities by year'!$A:$A) * (AK$10='[1]Elasticities by year'!$B:$B)* ($C23='[1]Elasticities by year'!$C:$C), '[1]Elasticities by year'!$D:$D)</f>
        <v>#N/A</v>
      </c>
      <c r="AL23" s="163" t="e" cm="1">
        <f t="array" ref="AL23">_xlfn.XLOOKUP(1, ('0. GUIDELINES'!$E$3='[1]Elasticities by year'!$A:$A) * (AL$10='[1]Elasticities by year'!$B:$B)* ($C23='[1]Elasticities by year'!$C:$C), '[1]Elasticities by year'!$D:$D)</f>
        <v>#N/A</v>
      </c>
      <c r="AM23" s="163" t="e" cm="1">
        <f t="array" ref="AM23">_xlfn.XLOOKUP(1, ('0. GUIDELINES'!$E$3='[1]Elasticities by year'!$A:$A) * (AM$10='[1]Elasticities by year'!$B:$B)* ($C23='[1]Elasticities by year'!$C:$C), '[1]Elasticities by year'!$D:$D)</f>
        <v>#N/A</v>
      </c>
      <c r="AN23" s="163" t="e" cm="1">
        <f t="array" ref="AN23">_xlfn.XLOOKUP(1, ('0. GUIDELINES'!$E$3='[1]Elasticities by year'!$A:$A) * (AN$10='[1]Elasticities by year'!$B:$B)* ($C23='[1]Elasticities by year'!$C:$C), '[1]Elasticities by year'!$D:$D)</f>
        <v>#N/A</v>
      </c>
      <c r="AP23" s="343" t="e">
        <f t="shared" si="1"/>
        <v>#DIV/0!</v>
      </c>
      <c r="AQ23" s="343" t="e">
        <f t="shared" si="2"/>
        <v>#DIV/0!</v>
      </c>
      <c r="AR23" s="343" t="e">
        <f t="shared" si="3"/>
        <v>#DIV/0!</v>
      </c>
      <c r="AU23" s="84"/>
      <c r="AV23" s="84"/>
      <c r="AW23" s="130"/>
      <c r="AX23" s="130"/>
      <c r="AY23" s="84"/>
      <c r="AZ23" s="84"/>
      <c r="BA23" s="84"/>
      <c r="BB23" s="84"/>
    </row>
    <row r="24" spans="1:54" ht="14.25" x14ac:dyDescent="0.2">
      <c r="A24" s="90"/>
      <c r="B24" s="90"/>
      <c r="C24" s="90"/>
      <c r="D24" s="337"/>
      <c r="E24" s="130"/>
      <c r="F24" s="84"/>
      <c r="G24" s="84"/>
      <c r="H24" s="84"/>
      <c r="I24" s="564" t="s">
        <v>189</v>
      </c>
      <c r="J24" s="564"/>
      <c r="K24" s="564"/>
      <c r="L24" s="564"/>
      <c r="M24" s="564"/>
      <c r="N24" s="564"/>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64" t="s">
        <v>191</v>
      </c>
      <c r="J25" s="564"/>
      <c r="K25" s="564"/>
      <c r="L25" s="564"/>
      <c r="M25" s="564"/>
      <c r="N25" s="564"/>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60" t="s">
        <v>177</v>
      </c>
      <c r="Q26" s="560"/>
      <c r="R26" s="560"/>
      <c r="S26" s="560"/>
      <c r="T26" s="560"/>
      <c r="U26" s="560"/>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8" t="s">
        <v>500</v>
      </c>
      <c r="J27" s="438"/>
      <c r="K27" s="439">
        <v>0</v>
      </c>
      <c r="L27" s="439">
        <v>0</v>
      </c>
      <c r="M27" s="439">
        <v>0</v>
      </c>
      <c r="N27" s="439">
        <v>0</v>
      </c>
      <c r="O27" s="440"/>
      <c r="P27" s="560" t="s">
        <v>514</v>
      </c>
      <c r="Q27" s="560"/>
      <c r="R27" s="560"/>
      <c r="S27" s="560" t="s">
        <v>515</v>
      </c>
      <c r="T27" s="560"/>
      <c r="U27" s="560"/>
      <c r="X27" s="556" t="s">
        <v>193</v>
      </c>
      <c r="Y27" s="556"/>
      <c r="Z27" s="556"/>
      <c r="AA27" s="556"/>
      <c r="AB27" s="556"/>
      <c r="AC27" s="556"/>
      <c r="AD27" s="556"/>
      <c r="AE27" s="556"/>
      <c r="AF27" s="556"/>
      <c r="AG27" s="556"/>
      <c r="AH27" s="556"/>
      <c r="AI27" s="556"/>
      <c r="AJ27" s="556"/>
      <c r="AK27" s="556"/>
      <c r="AL27" s="556"/>
      <c r="AM27" s="556"/>
      <c r="AN27" s="556"/>
      <c r="AU27" s="84"/>
      <c r="AV27" s="84"/>
      <c r="AW27" s="130"/>
      <c r="AX27" s="130"/>
      <c r="AY27" s="84"/>
      <c r="AZ27" s="84"/>
      <c r="BA27" s="84"/>
      <c r="BB27" s="84"/>
    </row>
    <row r="28" spans="1:54" ht="15.6" customHeight="1" x14ac:dyDescent="0.2">
      <c r="A28" s="90"/>
      <c r="B28" s="90"/>
      <c r="C28" s="90"/>
      <c r="D28" s="337"/>
      <c r="E28" s="130"/>
      <c r="F28" s="84"/>
      <c r="G28" s="84"/>
      <c r="H28" s="84"/>
      <c r="I28" s="566" t="s">
        <v>192</v>
      </c>
      <c r="J28" s="556" t="s">
        <v>179</v>
      </c>
      <c r="K28" s="556"/>
      <c r="L28" s="556"/>
      <c r="M28" s="556"/>
      <c r="N28" s="556"/>
      <c r="O28" s="341"/>
      <c r="P28" s="556" t="s">
        <v>180</v>
      </c>
      <c r="Q28" s="556"/>
      <c r="R28" s="567"/>
      <c r="S28" s="556" t="s">
        <v>181</v>
      </c>
      <c r="T28" s="556"/>
      <c r="U28" s="556"/>
      <c r="V28" s="350"/>
      <c r="W28" s="350"/>
      <c r="X28" s="556"/>
      <c r="Y28" s="556"/>
      <c r="Z28" s="556"/>
      <c r="AA28" s="556"/>
      <c r="AB28" s="556"/>
      <c r="AC28" s="556"/>
      <c r="AD28" s="556"/>
      <c r="AE28" s="556"/>
      <c r="AF28" s="556"/>
      <c r="AG28" s="556"/>
      <c r="AH28" s="556"/>
      <c r="AI28" s="556"/>
      <c r="AJ28" s="556"/>
      <c r="AK28" s="556"/>
      <c r="AL28" s="556"/>
      <c r="AM28" s="556"/>
      <c r="AN28" s="556"/>
      <c r="AU28" s="84"/>
      <c r="AV28" s="84"/>
      <c r="AW28" s="130"/>
      <c r="AX28" s="130"/>
      <c r="AY28" s="84"/>
      <c r="AZ28" s="84"/>
      <c r="BA28" s="84"/>
      <c r="BB28" s="84"/>
    </row>
    <row r="29" spans="1:54" ht="14.25" x14ac:dyDescent="0.2">
      <c r="A29" s="90"/>
      <c r="B29" s="90"/>
      <c r="C29" s="90"/>
      <c r="D29" s="337"/>
      <c r="E29" s="130"/>
      <c r="F29" s="84"/>
      <c r="G29" s="84"/>
      <c r="H29" s="84"/>
      <c r="I29" s="566"/>
      <c r="J29" s="556"/>
      <c r="K29" s="556"/>
      <c r="L29" s="556"/>
      <c r="M29" s="556"/>
      <c r="N29" s="556"/>
      <c r="O29" s="341"/>
      <c r="P29" s="556"/>
      <c r="Q29" s="556"/>
      <c r="R29" s="567"/>
      <c r="S29" s="556"/>
      <c r="T29" s="556"/>
      <c r="U29" s="556"/>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66"/>
      <c r="J30" s="157">
        <v>2022</v>
      </c>
      <c r="K30" s="157">
        <v>2023</v>
      </c>
      <c r="L30" s="157">
        <v>2024</v>
      </c>
      <c r="M30" s="157">
        <v>2025</v>
      </c>
      <c r="N30" s="157">
        <v>2026</v>
      </c>
      <c r="O30" s="341"/>
      <c r="P30" s="158" t="str" cm="1">
        <f t="array" ref="P30">_xlfn.XLOOKUP(1, ('0. GUIDELINES'!$E$3=[1]Elasticities!$A:$A) * ("Long"=[1]Elasticities!$B:$B) * ($A$31=[1]Elasticities!$D:$D) * ($C31=[1]Elasticities!$E:$E) * ('2.1 LABOR STRUCTURE'!$E$4=[1]Elasticities!$G:$G), [1]Elasticities!$C:$C)</f>
        <v>2005 - 2022</v>
      </c>
      <c r="Q30" s="158" t="str" cm="1">
        <f t="array" ref="Q30">_xlfn.XLOOKUP(1, ('0. GUIDELINES'!$E$3=[1]Elasticities!$A:$A) * ("Middle"=[1]Elasticities!$B:$B) * ($A$31=[1]Elasticities!$D:$D) * ($C31=[1]Elasticities!$E:$E) * ('2.1 LABOR STRUCTURE'!$E$4=[1]Elasticities!$G:$G), [1]Elasticities!$C:$C)</f>
        <v>2010 - 2022</v>
      </c>
      <c r="R30" s="159" t="str" cm="1">
        <f t="array" ref="R30">_xlfn.XLOOKUP(1, ('0. GUIDELINES'!$E$3=[1]Elasticities!$A:$A) * ("Short"=[1]Elasticities!$B:$B) * ($A$31=[1]Elasticities!$D:$D) * ($C31=[1]Elasticities!$E:$E) * ('2.1 LABOR STRUCTURE'!$E$4=[1]Elasticities!$G:$G), [1]Elasticities!$C:$C)</f>
        <v>2015 - 2022</v>
      </c>
      <c r="S30" s="158" t="str" cm="1">
        <f t="array" ref="S30">_xlfn.XLOOKUP(1, ('0. GUIDELINES'!$E$3=[1]Elasticities!$A:$A) * ("Long"=[1]Elasticities!$B:$B) * ($B$31=[1]Elasticities!$D:$D) * ($C31=[1]Elasticities!$E:$E) * ('2.1 LABOR STRUCTURE'!$E$4=[1]Elasticities!$G:$G), [1]Elasticities!$C:$C)</f>
        <v>2005 - 2022</v>
      </c>
      <c r="T30" s="158" t="str" cm="1">
        <f t="array" ref="T30">_xlfn.XLOOKUP(1, ('0. GUIDELINES'!$E$3=[1]Elasticities!$A:$A) * ("Middle"=[1]Elasticities!$B:$B) * ($B$31=[1]Elasticities!$D:$D) * ($C31=[1]Elasticities!$E:$E) * ('2.1 LABOR STRUCTURE'!$E$4=[1]Elasticities!$G:$G), [1]Elasticities!$C:$C)</f>
        <v>2010 - 2022</v>
      </c>
      <c r="U30" s="158" t="str" cm="1">
        <f t="array" ref="U30">_xlfn.XLOOKUP(1, ('0. GUIDELINES'!$E$3=[1]Elasticities!$A:$A) * ("Short"=[1]Elasticities!$B:$B) * ($B$31=[1]Elasticities!$D:$D) * ($C31=[1]Elasticities!$E:$E) * ('2.1 LABOR STRUCTURE'!$E$4=[1]Elasticities!$G:$G), [1]Elasticities!$C:$C)</f>
        <v>2015 - 2022</v>
      </c>
      <c r="V30" s="350"/>
      <c r="W30" s="350"/>
      <c r="X30" s="162" t="e" cm="1">
        <f t="array" ref="X30">_xlfn.XLOOKUP(1, ('0. GUIDELINES'!$E$3='[1]Elasticities by year'!$A:$A) * (X$10='[1]Elasticities by year'!$B:$B)* ($C31='[1]Elasticities by year'!$C:$C), '[1]Elasticities by year'!$D:$D)</f>
        <v>#N/A</v>
      </c>
      <c r="Y30" s="162" t="e" cm="1">
        <f t="array" ref="Y30">_xlfn.XLOOKUP(1, ('0. GUIDELINES'!$E$3='[1]Elasticities by year'!$A:$A) * (Y$10='[1]Elasticities by year'!$B:$B)* ($C31='[1]Elasticities by year'!$C:$C), '[1]Elasticities by year'!$D:$D)</f>
        <v>#N/A</v>
      </c>
      <c r="Z30" s="162" t="e" cm="1">
        <f t="array" ref="Z30">_xlfn.XLOOKUP(1, ('0. GUIDELINES'!$E$3='[1]Elasticities by year'!$A:$A) * (Z$10='[1]Elasticities by year'!$B:$B)* ($C31='[1]Elasticities by year'!$C:$C), '[1]Elasticities by year'!$D:$D)</f>
        <v>#N/A</v>
      </c>
      <c r="AA30" s="162" t="e" cm="1">
        <f t="array" ref="AA30">_xlfn.XLOOKUP(1, ('0. GUIDELINES'!$E$3='[1]Elasticities by year'!$A:$A) * (AA$10='[1]Elasticities by year'!$B:$B)* ($C31='[1]Elasticities by year'!$C:$C), '[1]Elasticities by year'!$D:$D)</f>
        <v>#N/A</v>
      </c>
      <c r="AB30" s="162" t="e" cm="1">
        <f t="array" ref="AB30">_xlfn.XLOOKUP(1, ('0. GUIDELINES'!$E$3='[1]Elasticities by year'!$A:$A) * (AB$10='[1]Elasticities by year'!$B:$B)* ($C31='[1]Elasticities by year'!$C:$C), '[1]Elasticities by year'!$D:$D)</f>
        <v>#N/A</v>
      </c>
      <c r="AC30" s="162" t="e" cm="1">
        <f t="array" ref="AC30">_xlfn.XLOOKUP(1, ('0. GUIDELINES'!$E$3='[1]Elasticities by year'!$A:$A) * (AC$10='[1]Elasticities by year'!$B:$B)* ($C31='[1]Elasticities by year'!$C:$C), '[1]Elasticities by year'!$D:$D)</f>
        <v>#N/A</v>
      </c>
      <c r="AD30" s="162" t="e" cm="1">
        <f t="array" ref="AD30">_xlfn.XLOOKUP(1, ('0. GUIDELINES'!$E$3='[1]Elasticities by year'!$A:$A) * (AD$10='[1]Elasticities by year'!$B:$B)* ($C31='[1]Elasticities by year'!$C:$C), '[1]Elasticities by year'!$D:$D)</f>
        <v>#N/A</v>
      </c>
      <c r="AE30" s="162" t="e" cm="1">
        <f t="array" ref="AE30">_xlfn.XLOOKUP(1, ('0. GUIDELINES'!$E$3='[1]Elasticities by year'!$A:$A) * (AE$10='[1]Elasticities by year'!$B:$B)* ($C31='[1]Elasticities by year'!$C:$C), '[1]Elasticities by year'!$D:$D)</f>
        <v>#N/A</v>
      </c>
      <c r="AF30" s="162" t="e" cm="1">
        <f t="array" ref="AF30">_xlfn.XLOOKUP(1, ('0. GUIDELINES'!$E$3='[1]Elasticities by year'!$A:$A) * (AF$10='[1]Elasticities by year'!$B:$B)* ($C31='[1]Elasticities by year'!$C:$C), '[1]Elasticities by year'!$D:$D)</f>
        <v>#N/A</v>
      </c>
      <c r="AG30" s="162" t="e" cm="1">
        <f t="array" ref="AG30">_xlfn.XLOOKUP(1, ('0. GUIDELINES'!$E$3='[1]Elasticities by year'!$A:$A) * (AG$10='[1]Elasticities by year'!$B:$B)* ($C31='[1]Elasticities by year'!$C:$C), '[1]Elasticities by year'!$D:$D)</f>
        <v>#N/A</v>
      </c>
      <c r="AH30" s="162" t="e" cm="1">
        <f t="array" ref="AH30">_xlfn.XLOOKUP(1, ('0. GUIDELINES'!$E$3='[1]Elasticities by year'!$A:$A) * (AH$10='[1]Elasticities by year'!$B:$B)* ($C31='[1]Elasticities by year'!$C:$C), '[1]Elasticities by year'!$D:$D)</f>
        <v>#N/A</v>
      </c>
      <c r="AI30" s="162" t="e" cm="1">
        <f t="array" ref="AI30">_xlfn.XLOOKUP(1, ('0. GUIDELINES'!$E$3='[1]Elasticities by year'!$A:$A) * (AI$10='[1]Elasticities by year'!$B:$B)* ($C31='[1]Elasticities by year'!$C:$C), '[1]Elasticities by year'!$D:$D)</f>
        <v>#N/A</v>
      </c>
      <c r="AJ30" s="162" t="e" cm="1">
        <f t="array" ref="AJ30">_xlfn.XLOOKUP(1, ('0. GUIDELINES'!$E$3='[1]Elasticities by year'!$A:$A) * (AJ$10='[1]Elasticities by year'!$B:$B)* ($C31='[1]Elasticities by year'!$C:$C), '[1]Elasticities by year'!$D:$D)</f>
        <v>#N/A</v>
      </c>
      <c r="AK30" s="162" t="e" cm="1">
        <f t="array" ref="AK30">_xlfn.XLOOKUP(1, ('0. GUIDELINES'!$E$3='[1]Elasticities by year'!$A:$A) * (AK$10='[1]Elasticities by year'!$B:$B)* ($C31='[1]Elasticities by year'!$C:$C), '[1]Elasticities by year'!$D:$D)</f>
        <v>#N/A</v>
      </c>
      <c r="AL30" s="162" t="e" cm="1">
        <f t="array" ref="AL30">_xlfn.XLOOKUP(1, ('0. GUIDELINES'!$E$3='[1]Elasticities by year'!$A:$A) * (AL$10='[1]Elasticities by year'!$B:$B)* ($C31='[1]Elasticities by year'!$C:$C), '[1]Elasticities by year'!$D:$D)</f>
        <v>#N/A</v>
      </c>
      <c r="AM30" s="162" t="e" cm="1">
        <f t="array" ref="AM30">_xlfn.XLOOKUP(1, ('0. GUIDELINES'!$E$3='[1]Elasticities by year'!$A:$A) * (AM$10='[1]Elasticities by year'!$B:$B)* ($C31='[1]Elasticities by year'!$C:$C), '[1]Elasticities by year'!$D:$D)</f>
        <v>#N/A</v>
      </c>
      <c r="AN30" s="162" t="e" cm="1">
        <f t="array" ref="AN30">_xlfn.XLOOKUP(1, ('0. GUIDELINES'!$E$3='[1]Elasticities by year'!$A:$A) * (AN$10='[1]Elasticities by year'!$B:$B)* ($C31='[1]Elasticities by year'!$C:$C), '[1]Elasticities by year'!$D:$D)</f>
        <v>#N/A</v>
      </c>
      <c r="AP30" s="343" t="e">
        <f>AVERAGEIF(X30:AK30, "&lt;&gt;#N/A")</f>
        <v>#DIV/0!</v>
      </c>
      <c r="AQ30" s="343" t="e">
        <f>AVERAGEIF(AC30:AK30, "&lt;&gt;#N/A")</f>
        <v>#DIV/0!</v>
      </c>
      <c r="AR30" s="343" t="e">
        <f>AVERAGEIF(AH30:AK30, "&lt;&gt;#N/A")</f>
        <v>#DIV/0!</v>
      </c>
      <c r="AU30" s="84"/>
      <c r="AV30" s="84"/>
      <c r="AW30" s="84"/>
      <c r="AX30" s="84"/>
      <c r="AY30" s="84"/>
      <c r="AZ30" s="84"/>
      <c r="BA30" s="84"/>
      <c r="BB30" s="84"/>
    </row>
    <row r="31" spans="1:54" ht="14.25" x14ac:dyDescent="0.2">
      <c r="A31" s="87" t="str">
        <f>VLOOKUP(P$28, 'CONTROL '!$D$1:$E$8, 2, 0)</f>
        <v>avg</v>
      </c>
      <c r="B31" s="87" t="str">
        <f>VLOOKUP(S$28, 'CONTROL '!$D$1:$E$8, 2, 0)</f>
        <v>reg</v>
      </c>
      <c r="C31" s="87" t="str">
        <f>IF($S$27="LFS",CONCATENATE("lf",'CONTROL '!$C15),CONCATENATE("hs",'CONTROL '!$C15))</f>
        <v>lfprod_s0_a1</v>
      </c>
      <c r="D31" s="123"/>
      <c r="E31" s="130"/>
      <c r="F31" s="84"/>
      <c r="G31" s="84"/>
      <c r="H31" s="84"/>
      <c r="I31" s="134" t="s">
        <v>390</v>
      </c>
      <c r="J31" s="133"/>
      <c r="K31" s="133">
        <v>-1.18</v>
      </c>
      <c r="L31" s="133">
        <v>-0.9004506715841063</v>
      </c>
      <c r="M31" s="133">
        <v>0.1</v>
      </c>
      <c r="N31" s="133">
        <v>0.8</v>
      </c>
      <c r="O31" s="341"/>
      <c r="P31" s="344" cm="1">
        <f t="array" ref="P31">_xlfn.XLOOKUP(1, ('0. GUIDELINES'!$E$3=[1]Elasticities!$A:$A) * ("Long"=[1]Elasticities!$B:$B) * ($A$31=[1]Elasticities!$D:$D) * ($C31=[1]Elasticities!$E:$E) * ('2.1 LABOR STRUCTURE'!$E$4=[1]Elasticities!$G:$G), [1]Elasticities!$F:$F)</f>
        <v>1.0009294748306274</v>
      </c>
      <c r="Q31" s="344" cm="1">
        <f t="array" ref="Q31">_xlfn.XLOOKUP(1, ('0. GUIDELINES'!$E$3=[1]Elasticities!$A:$A) * ("Middle"=[1]Elasticities!$B:$B) * ($A$31=[1]Elasticities!$D:$D) * ($C31=[1]Elasticities!$E:$E) * ('2.1 LABOR STRUCTURE'!$E$4=[1]Elasticities!$G:$G), [1]Elasticities!$F:$F)</f>
        <v>1.0009294748306274</v>
      </c>
      <c r="R31" s="345" cm="1">
        <f t="array" ref="R31">_xlfn.XLOOKUP(1, ('0. GUIDELINES'!$E$3=[1]Elasticities!$A:$A) * ("Short"=[1]Elasticities!$B:$B) * ($A$31=[1]Elasticities!$D:$D) * ($C31=[1]Elasticities!$E:$E) * ('2.1 LABOR STRUCTURE'!$E$4=[1]Elasticities!$G:$G), [1]Elasticities!$F:$F)</f>
        <v>2.9618732929229736</v>
      </c>
      <c r="S31" s="344" cm="1">
        <f t="array" ref="S31">_xlfn.XLOOKUP(1, ('0. GUIDELINES'!$E$3=[1]Elasticities!$A:$A) * ("Long"=[1]Elasticities!$B:$B) * ($B$31=[1]Elasticities!$D:$D) * ($C31=[1]Elasticities!$E:$E) * ('2.1 LABOR STRUCTURE'!$E$4=[1]Elasticities!$G:$G), [1]Elasticities!$F:$F)</f>
        <v>-0.52494460344314575</v>
      </c>
      <c r="T31" s="344" cm="1">
        <f t="array" ref="T31">_xlfn.XLOOKUP(1, ('0. GUIDELINES'!$E$3=[1]Elasticities!$A:$A) * ("Middle"=[1]Elasticities!$B:$B) * ($B$31=[1]Elasticities!$D:$D) * ($C31=[1]Elasticities!$E:$E) * ('2.1 LABOR STRUCTURE'!$E$4=[1]Elasticities!$G:$G), [1]Elasticities!$F:$F)</f>
        <v>-0.6139214038848877</v>
      </c>
      <c r="U31" s="454" cm="1">
        <f t="array" ref="U31">_xlfn.XLOOKUP(1, ('0. GUIDELINES'!$E$3=[1]Elasticities!$A:$A) * ("Short"=[1]Elasticities!$B:$B) * ($B$31=[1]Elasticities!$D:$D) * ($C31=[1]Elasticities!$E:$E) * ('2.1 LABOR STRUCTURE'!$E$4=[1]Elasticities!$G:$G), [1]Elasticities!$F:$F)</f>
        <v>4.8268165588378906</v>
      </c>
      <c r="V31" s="350"/>
      <c r="W31" s="350"/>
      <c r="X31" s="162" t="e" cm="1">
        <f t="array" ref="X31">_xlfn.XLOOKUP(1, ('0. GUIDELINES'!$E$3='[1]Elasticities by year'!$A:$A) * (X$10='[1]Elasticities by year'!$B:$B)* ($C32='[1]Elasticities by year'!$C:$C), '[1]Elasticities by year'!$D:$D)</f>
        <v>#N/A</v>
      </c>
      <c r="Y31" s="162" t="e" cm="1">
        <f t="array" ref="Y31">_xlfn.XLOOKUP(1, ('0. GUIDELINES'!$E$3='[1]Elasticities by year'!$A:$A) * (Y$10='[1]Elasticities by year'!$B:$B)* ($C32='[1]Elasticities by year'!$C:$C), '[1]Elasticities by year'!$D:$D)</f>
        <v>#N/A</v>
      </c>
      <c r="Z31" s="162" t="e" cm="1">
        <f t="array" ref="Z31">_xlfn.XLOOKUP(1, ('0. GUIDELINES'!$E$3='[1]Elasticities by year'!$A:$A) * (Z$10='[1]Elasticities by year'!$B:$B)* ($C32='[1]Elasticities by year'!$C:$C), '[1]Elasticities by year'!$D:$D)</f>
        <v>#N/A</v>
      </c>
      <c r="AA31" s="162" t="e" cm="1">
        <f t="array" ref="AA31">_xlfn.XLOOKUP(1, ('0. GUIDELINES'!$E$3='[1]Elasticities by year'!$A:$A) * (AA$10='[1]Elasticities by year'!$B:$B)* ($C32='[1]Elasticities by year'!$C:$C), '[1]Elasticities by year'!$D:$D)</f>
        <v>#N/A</v>
      </c>
      <c r="AB31" s="162" t="e" cm="1">
        <f t="array" ref="AB31">_xlfn.XLOOKUP(1, ('0. GUIDELINES'!$E$3='[1]Elasticities by year'!$A:$A) * (AB$10='[1]Elasticities by year'!$B:$B)* ($C32='[1]Elasticities by year'!$C:$C), '[1]Elasticities by year'!$D:$D)</f>
        <v>#N/A</v>
      </c>
      <c r="AC31" s="162" t="e" cm="1">
        <f t="array" ref="AC31">_xlfn.XLOOKUP(1, ('0. GUIDELINES'!$E$3='[1]Elasticities by year'!$A:$A) * (AC$10='[1]Elasticities by year'!$B:$B)* ($C32='[1]Elasticities by year'!$C:$C), '[1]Elasticities by year'!$D:$D)</f>
        <v>#N/A</v>
      </c>
      <c r="AD31" s="162" t="e" cm="1">
        <f t="array" ref="AD31">_xlfn.XLOOKUP(1, ('0. GUIDELINES'!$E$3='[1]Elasticities by year'!$A:$A) * (AD$10='[1]Elasticities by year'!$B:$B)* ($C32='[1]Elasticities by year'!$C:$C), '[1]Elasticities by year'!$D:$D)</f>
        <v>#N/A</v>
      </c>
      <c r="AE31" s="162" t="e" cm="1">
        <f t="array" ref="AE31">_xlfn.XLOOKUP(1, ('0. GUIDELINES'!$E$3='[1]Elasticities by year'!$A:$A) * (AE$10='[1]Elasticities by year'!$B:$B)* ($C32='[1]Elasticities by year'!$C:$C), '[1]Elasticities by year'!$D:$D)</f>
        <v>#N/A</v>
      </c>
      <c r="AF31" s="162" t="e" cm="1">
        <f t="array" ref="AF31">_xlfn.XLOOKUP(1, ('0. GUIDELINES'!$E$3='[1]Elasticities by year'!$A:$A) * (AF$10='[1]Elasticities by year'!$B:$B)* ($C32='[1]Elasticities by year'!$C:$C), '[1]Elasticities by year'!$D:$D)</f>
        <v>#N/A</v>
      </c>
      <c r="AG31" s="162" t="e" cm="1">
        <f t="array" ref="AG31">_xlfn.XLOOKUP(1, ('0. GUIDELINES'!$E$3='[1]Elasticities by year'!$A:$A) * (AG$10='[1]Elasticities by year'!$B:$B)* ($C32='[1]Elasticities by year'!$C:$C), '[1]Elasticities by year'!$D:$D)</f>
        <v>#N/A</v>
      </c>
      <c r="AH31" s="162" t="e" cm="1">
        <f t="array" ref="AH31">_xlfn.XLOOKUP(1, ('0. GUIDELINES'!$E$3='[1]Elasticities by year'!$A:$A) * (AH$10='[1]Elasticities by year'!$B:$B)* ($C32='[1]Elasticities by year'!$C:$C), '[1]Elasticities by year'!$D:$D)</f>
        <v>#N/A</v>
      </c>
      <c r="AI31" s="162" t="e" cm="1">
        <f t="array" ref="AI31">_xlfn.XLOOKUP(1, ('0. GUIDELINES'!$E$3='[1]Elasticities by year'!$A:$A) * (AI$10='[1]Elasticities by year'!$B:$B)* ($C32='[1]Elasticities by year'!$C:$C), '[1]Elasticities by year'!$D:$D)</f>
        <v>#N/A</v>
      </c>
      <c r="AJ31" s="162" t="e" cm="1">
        <f t="array" ref="AJ31">_xlfn.XLOOKUP(1, ('0. GUIDELINES'!$E$3='[1]Elasticities by year'!$A:$A) * (AJ$10='[1]Elasticities by year'!$B:$B)* ($C32='[1]Elasticities by year'!$C:$C), '[1]Elasticities by year'!$D:$D)</f>
        <v>#N/A</v>
      </c>
      <c r="AK31" s="162" t="e" cm="1">
        <f t="array" ref="AK31">_xlfn.XLOOKUP(1, ('0. GUIDELINES'!$E$3='[1]Elasticities by year'!$A:$A) * (AK$10='[1]Elasticities by year'!$B:$B)* ($C32='[1]Elasticities by year'!$C:$C), '[1]Elasticities by year'!$D:$D)</f>
        <v>#N/A</v>
      </c>
      <c r="AL31" s="162" t="e" cm="1">
        <f t="array" ref="AL31">_xlfn.XLOOKUP(1, ('0. GUIDELINES'!$E$3='[1]Elasticities by year'!$A:$A) * (AL$10='[1]Elasticities by year'!$B:$B)* ($C32='[1]Elasticities by year'!$C:$C), '[1]Elasticities by year'!$D:$D)</f>
        <v>#N/A</v>
      </c>
      <c r="AM31" s="162" t="e" cm="1">
        <f t="array" ref="AM3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 si="4">AVERAGEIF(X31:AK31, "&lt;&gt;#N/A")</f>
        <v>#DIV/0!</v>
      </c>
      <c r="AQ31" s="343" t="e">
        <f t="shared" ref="AQ31" si="5">AVERAGEIF(AC31:AK31, "&lt;&gt;#N/A")</f>
        <v>#DIV/0!</v>
      </c>
      <c r="AR31" s="343" t="e">
        <f t="shared" ref="AR31" si="6">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389</v>
      </c>
      <c r="J32" s="133"/>
      <c r="K32" s="133">
        <v>0.3</v>
      </c>
      <c r="L32" s="133">
        <f t="shared" ref="L32:N32" si="7">K32</f>
        <v>0.3</v>
      </c>
      <c r="M32" s="133">
        <f t="shared" si="7"/>
        <v>0.3</v>
      </c>
      <c r="N32" s="133">
        <f t="shared" si="7"/>
        <v>0.3</v>
      </c>
      <c r="O32" s="341"/>
      <c r="P32" s="344" cm="1">
        <f t="array" ref="P32">_xlfn.XLOOKUP(1, ('0. GUIDELINES'!$E$3=[1]Elasticities!$A:$A) * ("Long"=[1]Elasticities!$B:$B) * ($A$31=[1]Elasticities!$D:$D) * ($C32=[1]Elasticities!$E:$E) * ('2.1 LABOR STRUCTURE'!$E$4=[1]Elasticities!$G:$G), [1]Elasticities!$F:$F)</f>
        <v>1.7518855333328247</v>
      </c>
      <c r="Q32" s="344" cm="1">
        <f t="array" ref="Q32">_xlfn.XLOOKUP(1, ('0. GUIDELINES'!$E$3=[1]Elasticities!$A:$A) * ("Middle"=[1]Elasticities!$B:$B) * ($A$31=[1]Elasticities!$D:$D) * ($C32=[1]Elasticities!$E:$E) * ('2.1 LABOR STRUCTURE'!$E$4=[1]Elasticities!$G:$G), [1]Elasticities!$F:$F)</f>
        <v>1.7518855333328247</v>
      </c>
      <c r="R32" s="345" cm="1">
        <f t="array" ref="R32">_xlfn.XLOOKUP(1, ('0. GUIDELINES'!$E$3=[1]Elasticities!$A:$A) * ("Short"=[1]Elasticities!$B:$B) * ($A$31=[1]Elasticities!$D:$D) * ($C32=[1]Elasticities!$E:$E) * ('2.1 LABOR STRUCTURE'!$E$4=[1]Elasticities!$G:$G), [1]Elasticities!$F:$F)</f>
        <v>-1.6635783910751343</v>
      </c>
      <c r="S32" s="344" cm="1">
        <f t="array" ref="S32">_xlfn.XLOOKUP(1, ('0. GUIDELINES'!$E$3=[1]Elasticities!$A:$A) * ("Long"=[1]Elasticities!$B:$B) * ($B$31=[1]Elasticities!$D:$D) * ($C32=[1]Elasticities!$E:$E) * ('2.1 LABOR STRUCTURE'!$E$4=[1]Elasticities!$G:$G), [1]Elasticities!$F:$F)</f>
        <v>-0.71804684400558472</v>
      </c>
      <c r="T32" s="344" cm="1">
        <f t="array" ref="T32">_xlfn.XLOOKUP(1, ('0. GUIDELINES'!$E$3=[1]Elasticities!$A:$A) * ("Middle"=[1]Elasticities!$B:$B) * ($B$31=[1]Elasticities!$D:$D) * ($C32=[1]Elasticities!$E:$E) * ('2.1 LABOR STRUCTURE'!$E$4=[1]Elasticities!$G:$G), [1]Elasticities!$F:$F)</f>
        <v>0.30451083183288574</v>
      </c>
      <c r="U32" s="454" cm="1">
        <f t="array" ref="U32">_xlfn.XLOOKUP(1, ('0. GUIDELINES'!$E$3=[1]Elasticities!$A:$A) * ("Short"=[1]Elasticities!$B:$B) * ($B$31=[1]Elasticities!$D:$D) * ($C32=[1]Elasticities!$E:$E) * ('2.1 LABOR STRUCTURE'!$E$4=[1]Elasticities!$G:$G), [1]Elasticities!$F:$F)</f>
        <v>-3.1076726913452148</v>
      </c>
      <c r="V32" s="350"/>
      <c r="W32" s="350"/>
      <c r="X32" s="162" t="e" cm="1">
        <f t="array" ref="X32">_xlfn.XLOOKUP(1, ('0. GUIDELINES'!$E$3='[1]Elasticities by year'!$A:$A) * (X$10='[1]Elasticities by year'!$B:$B)* ($C33='[1]Elasticities by year'!$C:$C), '[1]Elasticities by year'!$D:$D)</f>
        <v>#N/A</v>
      </c>
      <c r="Y32" s="162" t="e" cm="1">
        <f t="array" ref="Y32">_xlfn.XLOOKUP(1, ('0. GUIDELINES'!$E$3='[1]Elasticities by year'!$A:$A) * (Y$10='[1]Elasticities by year'!$B:$B)* ($C33='[1]Elasticities by year'!$C:$C), '[1]Elasticities by year'!$D:$D)</f>
        <v>#N/A</v>
      </c>
      <c r="Z32" s="162" t="e" cm="1">
        <f t="array" ref="Z32">_xlfn.XLOOKUP(1, ('0. GUIDELINES'!$E$3='[1]Elasticities by year'!$A:$A) * (Z$10='[1]Elasticities by year'!$B:$B)* ($C33='[1]Elasticities by year'!$C:$C), '[1]Elasticities by year'!$D:$D)</f>
        <v>#N/A</v>
      </c>
      <c r="AA32" s="162" t="e" cm="1">
        <f t="array" ref="AA32">_xlfn.XLOOKUP(1, ('0. GUIDELINES'!$E$3='[1]Elasticities by year'!$A:$A) * (AA$10='[1]Elasticities by year'!$B:$B)* ($C33='[1]Elasticities by year'!$C:$C), '[1]Elasticities by year'!$D:$D)</f>
        <v>#N/A</v>
      </c>
      <c r="AB32" s="162" t="e" cm="1">
        <f t="array" ref="AB32">_xlfn.XLOOKUP(1, ('0. GUIDELINES'!$E$3='[1]Elasticities by year'!$A:$A) * (AB$10='[1]Elasticities by year'!$B:$B)* ($C33='[1]Elasticities by year'!$C:$C), '[1]Elasticities by year'!$D:$D)</f>
        <v>#N/A</v>
      </c>
      <c r="AC32" s="162" t="e" cm="1">
        <f t="array" ref="AC32">_xlfn.XLOOKUP(1, ('0. GUIDELINES'!$E$3='[1]Elasticities by year'!$A:$A) * (AC$10='[1]Elasticities by year'!$B:$B)* ($C33='[1]Elasticities by year'!$C:$C), '[1]Elasticities by year'!$D:$D)</f>
        <v>#N/A</v>
      </c>
      <c r="AD32" s="162" t="e" cm="1">
        <f t="array" ref="AD32">_xlfn.XLOOKUP(1, ('0. GUIDELINES'!$E$3='[1]Elasticities by year'!$A:$A) * (AD$10='[1]Elasticities by year'!$B:$B)* ($C33='[1]Elasticities by year'!$C:$C), '[1]Elasticities by year'!$D:$D)</f>
        <v>#N/A</v>
      </c>
      <c r="AE32" s="162" t="e" cm="1">
        <f t="array" ref="AE32">_xlfn.XLOOKUP(1, ('0. GUIDELINES'!$E$3='[1]Elasticities by year'!$A:$A) * (AE$10='[1]Elasticities by year'!$B:$B)* ($C33='[1]Elasticities by year'!$C:$C), '[1]Elasticities by year'!$D:$D)</f>
        <v>#N/A</v>
      </c>
      <c r="AF32" s="162" t="e" cm="1">
        <f t="array" ref="AF32">_xlfn.XLOOKUP(1, ('0. GUIDELINES'!$E$3='[1]Elasticities by year'!$A:$A) * (AF$10='[1]Elasticities by year'!$B:$B)* ($C33='[1]Elasticities by year'!$C:$C), '[1]Elasticities by year'!$D:$D)</f>
        <v>#N/A</v>
      </c>
      <c r="AG32" s="162" t="e" cm="1">
        <f t="array" ref="AG32">_xlfn.XLOOKUP(1, ('0. GUIDELINES'!$E$3='[1]Elasticities by year'!$A:$A) * (AG$10='[1]Elasticities by year'!$B:$B)* ($C33='[1]Elasticities by year'!$C:$C), '[1]Elasticities by year'!$D:$D)</f>
        <v>#N/A</v>
      </c>
      <c r="AH32" s="162" t="e" cm="1">
        <f t="array" ref="AH32">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ref="AJ32">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ref="AL32">_xlfn.XLOOKUP(1, ('0. GUIDELINES'!$E$3='[1]Elasticities by year'!$A:$A) * (AL$10='[1]Elasticities by year'!$B:$B)* ($C33='[1]Elasticities by year'!$C:$C), '[1]Elasticities by year'!$D:$D)</f>
        <v>#N/A</v>
      </c>
      <c r="AM32" s="162" t="e" cm="1">
        <f t="array" ref="AM32">_xlfn.XLOOKUP(1, ('0. GUIDELINES'!$E$3='[1]Elasticities by year'!$A:$A) * (AM$10='[1]Elasticities by year'!$B:$B)* ($C33='[1]Elasticities by year'!$C:$C), '[1]Elasticities by year'!$D:$D)</f>
        <v>#N/A</v>
      </c>
      <c r="AN32" s="162" t="e" cm="1">
        <f t="array" ref="AN32">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616</v>
      </c>
      <c r="J33" s="133"/>
      <c r="K33" s="133">
        <v>-0.65</v>
      </c>
      <c r="L33" s="133">
        <v>-0.4016579809369194</v>
      </c>
      <c r="M33" s="133">
        <v>0.1</v>
      </c>
      <c r="N33" s="133">
        <v>0.3</v>
      </c>
      <c r="O33" s="406"/>
      <c r="P33" s="344" cm="1">
        <f t="array" ref="P33">_xlfn.XLOOKUP(1, ('0. GUIDELINES'!$E$3=[1]Elasticities!$A:$A) * ("Long"=[1]Elasticities!$B:$B) * ($A$31=[1]Elasticities!$D:$D) * ($C33=[1]Elasticities!$E:$E) * ('2.1 LABOR STRUCTURE'!$E$4=[1]Elasticities!$G:$G), [1]Elasticities!$F:$F)</f>
        <v>-0.50713980197906494</v>
      </c>
      <c r="Q33" s="344" cm="1">
        <f t="array" ref="Q33">_xlfn.XLOOKUP(1, ('0. GUIDELINES'!$E$3=[1]Elasticities!$A:$A) * ("Middle"=[1]Elasticities!$B:$B) * ($A$31=[1]Elasticities!$D:$D) * ($C33=[1]Elasticities!$E:$E) * ('2.1 LABOR STRUCTURE'!$E$4=[1]Elasticities!$G:$G), [1]Elasticities!$F:$F)</f>
        <v>-0.50713980197906494</v>
      </c>
      <c r="R33" s="345" cm="1">
        <f t="array" ref="R33">_xlfn.XLOOKUP(1, ('0. GUIDELINES'!$E$3=[1]Elasticities!$A:$A) * ("Short"=[1]Elasticities!$B:$B) * ($A$31=[1]Elasticities!$D:$D) * ($C33=[1]Elasticities!$E:$E) * ('2.1 LABOR STRUCTURE'!$E$4=[1]Elasticities!$G:$G), [1]Elasticities!$F:$F)</f>
        <v>-0.77346688508987427</v>
      </c>
      <c r="S33" s="344" cm="1">
        <f t="array" ref="S33">_xlfn.XLOOKUP(1, ('0. GUIDELINES'!$E$3=[1]Elasticities!$A:$A) * ("Long"=[1]Elasticities!$B:$B) * ($B$31=[1]Elasticities!$D:$D) * ($C33=[1]Elasticities!$E:$E) * ('2.1 LABOR STRUCTURE'!$E$4=[1]Elasticities!$G:$G), [1]Elasticities!$F:$F)</f>
        <v>-0.64620739221572876</v>
      </c>
      <c r="T33" s="344" cm="1">
        <f t="array" ref="T33">_xlfn.XLOOKUP(1, ('0. GUIDELINES'!$E$3=[1]Elasticities!$A:$A) * ("Middle"=[1]Elasticities!$B:$B) * ($B$31=[1]Elasticities!$D:$D) * ($C33=[1]Elasticities!$E:$E) * ('2.1 LABOR STRUCTURE'!$E$4=[1]Elasticities!$G:$G), [1]Elasticities!$F:$F)</f>
        <v>-0.88146835565567017</v>
      </c>
      <c r="U33" s="454" cm="1">
        <f t="array" ref="U33">_xlfn.XLOOKUP(1, ('0. GUIDELINES'!$E$3=[1]Elasticities!$A:$A) * ("Short"=[1]Elasticities!$B:$B) * ($B$31=[1]Elasticities!$D:$D) * ($C33=[1]Elasticities!$E:$E) * ('2.1 LABOR STRUCTURE'!$E$4=[1]Elasticities!$G:$G), [1]Elasticities!$F:$F)</f>
        <v>-1.0484356880187988</v>
      </c>
      <c r="V33" s="350"/>
      <c r="W33" s="350"/>
      <c r="X33" s="162" t="e" cm="1">
        <f t="array" ref="X33">_xlfn.XLOOKUP(1, ('0. GUIDELINES'!$E$3='[1]Elasticities by year'!$A:$A) * (X$10='[1]Elasticities by year'!$B:$B)* ($C34='[1]Elasticities by year'!$C:$C), '[1]Elasticities by year'!$D:$D)</f>
        <v>#N/A</v>
      </c>
      <c r="Y33" s="162" t="e" cm="1">
        <f t="array" ref="Y33">_xlfn.XLOOKUP(1, ('0. GUIDELINES'!$E$3='[1]Elasticities by year'!$A:$A) * (Y$10='[1]Elasticities by year'!$B:$B)* ($C34='[1]Elasticities by year'!$C:$C), '[1]Elasticities by year'!$D:$D)</f>
        <v>#N/A</v>
      </c>
      <c r="Z33" s="162" t="e" cm="1">
        <f t="array" ref="Z33">_xlfn.XLOOKUP(1, ('0. GUIDELINES'!$E$3='[1]Elasticities by year'!$A:$A) * (Z$10='[1]Elasticities by year'!$B:$B)* ($C34='[1]Elasticities by year'!$C:$C), '[1]Elasticities by year'!$D:$D)</f>
        <v>#N/A</v>
      </c>
      <c r="AA33" s="162" t="e" cm="1">
        <f t="array" ref="AA33">_xlfn.XLOOKUP(1, ('0. GUIDELINES'!$E$3='[1]Elasticities by year'!$A:$A) * (AA$10='[1]Elasticities by year'!$B:$B)* ($C34='[1]Elasticities by year'!$C:$C), '[1]Elasticities by year'!$D:$D)</f>
        <v>#N/A</v>
      </c>
      <c r="AB33" s="162" t="e" cm="1">
        <f t="array" ref="AB33">_xlfn.XLOOKUP(1, ('0. GUIDELINES'!$E$3='[1]Elasticities by year'!$A:$A) * (AB$10='[1]Elasticities by year'!$B:$B)* ($C34='[1]Elasticities by year'!$C:$C), '[1]Elasticities by year'!$D:$D)</f>
        <v>#N/A</v>
      </c>
      <c r="AC33" s="162" t="e" cm="1">
        <f t="array" ref="AC33">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ref="AF33">_xlfn.XLOOKUP(1, ('0. GUIDELINES'!$E$3='[1]Elasticities by year'!$A:$A) * (AF$10='[1]Elasticities by year'!$B:$B)* ($C34='[1]Elasticities by year'!$C:$C), '[1]Elasticities by year'!$D:$D)</f>
        <v>#N/A</v>
      </c>
      <c r="AG33" s="162" t="e" cm="1">
        <f t="array" ref="AG33">_xlfn.XLOOKUP(1, ('0. GUIDELINES'!$E$3='[1]Elasticities by year'!$A:$A) * (AG$10='[1]Elasticities by year'!$B:$B)* ($C34='[1]Elasticities by year'!$C:$C), '[1]Elasticities by year'!$D:$D)</f>
        <v>#N/A</v>
      </c>
      <c r="AH33" s="162" t="e" cm="1">
        <f t="array" ref="AH33">_xlfn.XLOOKUP(1, ('0. GUIDELINES'!$E$3='[1]Elasticities by year'!$A:$A) * (AH$10='[1]Elasticities by year'!$B:$B)* ($C34='[1]Elasticities by year'!$C:$C), '[1]Elasticities by year'!$D:$D)</f>
        <v>#N/A</v>
      </c>
      <c r="AI33" s="162" t="e" cm="1">
        <f t="array" ref="AI33">_xlfn.XLOOKUP(1, ('0. GUIDELINES'!$E$3='[1]Elasticities by year'!$A:$A) * (AI$10='[1]Elasticities by year'!$B:$B)* ($C34='[1]Elasticities by year'!$C:$C), '[1]Elasticities by year'!$D:$D)</f>
        <v>#N/A</v>
      </c>
      <c r="AJ33" s="162" t="e" cm="1">
        <f t="array" ref="AJ33">_xlfn.XLOOKUP(1, ('0. GUIDELINES'!$E$3='[1]Elasticities by year'!$A:$A) * (AJ$10='[1]Elasticities by year'!$B:$B)* ($C34='[1]Elasticities by year'!$C:$C), '[1]Elasticities by year'!$D:$D)</f>
        <v>#N/A</v>
      </c>
      <c r="AK33" s="162" t="e" cm="1">
        <f t="array" ref="AK33">_xlfn.XLOOKUP(1, ('0. GUIDELINES'!$E$3='[1]Elasticities by year'!$A:$A) * (AK$10='[1]Elasticities by year'!$B:$B)* ($C34='[1]Elasticities by year'!$C:$C), '[1]Elasticities by year'!$D:$D)</f>
        <v>#N/A</v>
      </c>
      <c r="AL33" s="162" t="e" cm="1">
        <f t="array" ref="AL33">_xlfn.XLOOKUP(1, ('0. GUIDELINES'!$E$3='[1]Elasticities by year'!$A:$A) * (AL$10='[1]Elasticities by year'!$B:$B)* ($C34='[1]Elasticities by year'!$C:$C), '[1]Elasticities by year'!$D:$D)</f>
        <v>#N/A</v>
      </c>
      <c r="AM33" s="162" t="e" cm="1">
        <f t="array" ref="AM33">_xlfn.XLOOKUP(1, ('0. GUIDELINES'!$E$3='[1]Elasticities by year'!$A:$A) * (AM$10='[1]Elasticities by year'!$B:$B)* ($C34='[1]Elasticities by year'!$C:$C), '[1]Elasticities by year'!$D:$D)</f>
        <v>#N/A</v>
      </c>
      <c r="AN33" s="162" t="e" cm="1">
        <f t="array" ref="AN33">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617</v>
      </c>
      <c r="J34" s="133"/>
      <c r="K34" s="133">
        <v>-7.0000000000000007E-2</v>
      </c>
      <c r="L34" s="133">
        <f t="shared" ref="L34:N34" si="8">K34</f>
        <v>-7.0000000000000007E-2</v>
      </c>
      <c r="M34" s="133">
        <v>0.16</v>
      </c>
      <c r="N34" s="133">
        <f t="shared" si="8"/>
        <v>0.16</v>
      </c>
      <c r="O34" s="406"/>
      <c r="P34" s="344" cm="1">
        <f t="array" ref="P34">_xlfn.XLOOKUP(1, ('0. GUIDELINES'!$E$3=[1]Elasticities!$A:$A) * ("Long"=[1]Elasticities!$B:$B) * ($A$31=[1]Elasticities!$D:$D) * ($C34=[1]Elasticities!$E:$E) * ('2.1 LABOR STRUCTURE'!$E$4=[1]Elasticities!$G:$G), [1]Elasticities!$F:$F)</f>
        <v>0.16247689723968506</v>
      </c>
      <c r="Q34" s="344" cm="1">
        <f t="array" ref="Q34">_xlfn.XLOOKUP(1, ('0. GUIDELINES'!$E$3=[1]Elasticities!$A:$A) * ("Middle"=[1]Elasticities!$B:$B) * ($A$31=[1]Elasticities!$D:$D) * ($C34=[1]Elasticities!$E:$E) * ('2.1 LABOR STRUCTURE'!$E$4=[1]Elasticities!$G:$G), [1]Elasticities!$F:$F)</f>
        <v>0.16247689723968506</v>
      </c>
      <c r="R34" s="345" cm="1">
        <f t="array" ref="R34">_xlfn.XLOOKUP(1, ('0. GUIDELINES'!$E$3=[1]Elasticities!$A:$A) * ("Short"=[1]Elasticities!$B:$B) * ($A$31=[1]Elasticities!$D:$D) * ($C34=[1]Elasticities!$E:$E) * ('2.1 LABOR STRUCTURE'!$E$4=[1]Elasticities!$G:$G), [1]Elasticities!$F:$F)</f>
        <v>0.26265612244606018</v>
      </c>
      <c r="S34" s="344" cm="1">
        <f t="array" ref="S34">_xlfn.XLOOKUP(1, ('0. GUIDELINES'!$E$3=[1]Elasticities!$A:$A) * ("Long"=[1]Elasticities!$B:$B) * ($B$31=[1]Elasticities!$D:$D) * ($C34=[1]Elasticities!$E:$E) * ('2.1 LABOR STRUCTURE'!$E$4=[1]Elasticities!$G:$G), [1]Elasticities!$F:$F)</f>
        <v>-0.24523423612117767</v>
      </c>
      <c r="T34" s="344" cm="1">
        <f t="array" ref="T34">_xlfn.XLOOKUP(1, ('0. GUIDELINES'!$E$3=[1]Elasticities!$A:$A) * ("Middle"=[1]Elasticities!$B:$B) * ($B$31=[1]Elasticities!$D:$D) * ($C34=[1]Elasticities!$E:$E) * ('2.1 LABOR STRUCTURE'!$E$4=[1]Elasticities!$G:$G), [1]Elasticities!$F:$F)</f>
        <v>-6.5231643617153168E-2</v>
      </c>
      <c r="U34" s="454" cm="1">
        <f t="array" ref="U34">_xlfn.XLOOKUP(1, ('0. GUIDELINES'!$E$3=[1]Elasticities!$A:$A) * ("Short"=[1]Elasticities!$B:$B) * ($B$31=[1]Elasticities!$D:$D) * ($C34=[1]Elasticities!$E:$E) * ('2.1 LABOR STRUCTURE'!$E$4=[1]Elasticities!$G:$G), [1]Elasticities!$F:$F)</f>
        <v>-0.95516574382781982</v>
      </c>
      <c r="V34" s="350"/>
      <c r="W34" s="350"/>
      <c r="X34" s="162" t="e" cm="1">
        <f t="array" ref="X34">_xlfn.XLOOKUP(1, ('0. GUIDELINES'!$E$3='[1]Elasticities by year'!$A:$A) * (X$10='[1]Elasticities by year'!$B:$B)* ($C35='[1]Elasticities by year'!$C:$C), '[1]Elasticities by year'!$D:$D)</f>
        <v>#N/A</v>
      </c>
      <c r="Y34" s="162" t="e" cm="1">
        <f t="array" ref="Y34">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ref="AA34">_xlfn.XLOOKUP(1, ('0. GUIDELINES'!$E$3='[1]Elasticities by year'!$A:$A) * (AA$10='[1]Elasticities by year'!$B:$B)* ($C35='[1]Elasticities by year'!$C:$C), '[1]Elasticities by year'!$D:$D)</f>
        <v>#N/A</v>
      </c>
      <c r="AB34" s="162" t="e" cm="1">
        <f t="array" ref="AB34">_xlfn.XLOOKUP(1, ('0. GUIDELINES'!$E$3='[1]Elasticities by year'!$A:$A) * (AB$10='[1]Elasticities by year'!$B:$B)* ($C35='[1]Elasticities by year'!$C:$C), '[1]Elasticities by year'!$D:$D)</f>
        <v>#N/A</v>
      </c>
      <c r="AC34" s="162" t="e" cm="1">
        <f t="array" ref="AC34">_xlfn.XLOOKUP(1, ('0. GUIDELINES'!$E$3='[1]Elasticities by year'!$A:$A) * (AC$10='[1]Elasticities by year'!$B:$B)* ($C35='[1]Elasticities by year'!$C:$C), '[1]Elasticities by year'!$D:$D)</f>
        <v>#N/A</v>
      </c>
      <c r="AD34" s="162" t="e" cm="1">
        <f t="array" ref="AD34">_xlfn.XLOOKUP(1, ('0. GUIDELINES'!$E$3='[1]Elasticities by year'!$A:$A) * (AD$10='[1]Elasticities by year'!$B:$B)* ($C35='[1]Elasticities by year'!$C:$C), '[1]Elasticities by year'!$D:$D)</f>
        <v>#N/A</v>
      </c>
      <c r="AE34" s="162" t="e" cm="1">
        <f t="array" ref="AE34">_xlfn.XLOOKUP(1, ('0. GUIDELINES'!$E$3='[1]Elasticities by year'!$A:$A) * (AE$10='[1]Elasticities by year'!$B:$B)* ($C35='[1]Elasticities by year'!$C:$C), '[1]Elasticities by year'!$D:$D)</f>
        <v>#N/A</v>
      </c>
      <c r="AF34" s="162" t="e" cm="1">
        <f t="array" ref="AF34">_xlfn.XLOOKUP(1, ('0. GUIDELINES'!$E$3='[1]Elasticities by year'!$A:$A) * (AF$10='[1]Elasticities by year'!$B:$B)* ($C35='[1]Elasticities by year'!$C:$C), '[1]Elasticities by year'!$D:$D)</f>
        <v>#N/A</v>
      </c>
      <c r="AG34" s="162" t="e" cm="1">
        <f t="array" ref="AG34">_xlfn.XLOOKUP(1, ('0. GUIDELINES'!$E$3='[1]Elasticities by year'!$A:$A) * (AG$10='[1]Elasticities by year'!$B:$B)* ($C35='[1]Elasticities by year'!$C:$C), '[1]Elasticities by year'!$D:$D)</f>
        <v>#N/A</v>
      </c>
      <c r="AH34" s="162" t="e" cm="1">
        <f t="array" ref="AH34">_xlfn.XLOOKUP(1, ('0. GUIDELINES'!$E$3='[1]Elasticities by year'!$A:$A) * (AH$10='[1]Elasticities by year'!$B:$B)* ($C35='[1]Elasticities by year'!$C:$C), '[1]Elasticities by year'!$D:$D)</f>
        <v>#N/A</v>
      </c>
      <c r="AI34" s="162" t="e" cm="1">
        <f t="array" ref="AI34">_xlfn.XLOOKUP(1, ('0. GUIDELINES'!$E$3='[1]Elasticities by year'!$A:$A) * (AI$10='[1]Elasticities by year'!$B:$B)* ($C35='[1]Elasticities by year'!$C:$C), '[1]Elasticities by year'!$D:$D)</f>
        <v>#N/A</v>
      </c>
      <c r="AJ34" s="162" t="e" cm="1">
        <f t="array" ref="AJ34">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ref="AM34">_xlfn.XLOOKUP(1, ('0. GUIDELINES'!$E$3='[1]Elasticities by year'!$A:$A) * (AM$10='[1]Elasticities by year'!$B:$B)* ($C35='[1]Elasticities by year'!$C:$C), '[1]Elasticities by year'!$D:$D)</f>
        <v>#N/A</v>
      </c>
      <c r="AN34" s="162" t="e" cm="1">
        <f t="array" ref="AN34">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618</v>
      </c>
      <c r="J35" s="133"/>
      <c r="K35" s="133">
        <v>-0.22</v>
      </c>
      <c r="L35" s="133">
        <v>-0.40722431561942135</v>
      </c>
      <c r="M35" s="133">
        <v>0.08</v>
      </c>
      <c r="N35" s="133">
        <v>0.45</v>
      </c>
      <c r="O35" s="406"/>
      <c r="P35" s="344" cm="1">
        <f t="array" ref="P35">_xlfn.XLOOKUP(1, ('0. GUIDELINES'!$E$3=[1]Elasticities!$A:$A) * ("Long"=[1]Elasticities!$B:$B) * ($A$31=[1]Elasticities!$D:$D) * ($C35=[1]Elasticities!$E:$E) * ('2.1 LABOR STRUCTURE'!$E$4=[1]Elasticities!$G:$G), [1]Elasticities!$F:$F)</f>
        <v>-0.33893957734107971</v>
      </c>
      <c r="Q35" s="344" cm="1">
        <f t="array" ref="Q35">_xlfn.XLOOKUP(1, ('0. GUIDELINES'!$E$3=[1]Elasticities!$A:$A) * ("Middle"=[1]Elasticities!$B:$B) * ($A$31=[1]Elasticities!$D:$D) * ($C35=[1]Elasticities!$E:$E) * ('2.1 LABOR STRUCTURE'!$E$4=[1]Elasticities!$G:$G), [1]Elasticities!$F:$F)</f>
        <v>-0.33893957734107971</v>
      </c>
      <c r="R35" s="345" cm="1">
        <f t="array" ref="R35">_xlfn.XLOOKUP(1, ('0. GUIDELINES'!$E$3=[1]Elasticities!$A:$A) * ("Short"=[1]Elasticities!$B:$B) * ($A$31=[1]Elasticities!$D:$D) * ($C35=[1]Elasticities!$E:$E) * ('2.1 LABOR STRUCTURE'!$E$4=[1]Elasticities!$G:$G), [1]Elasticities!$F:$F)</f>
        <v>-5.1201559603214264E-2</v>
      </c>
      <c r="S35" s="344" cm="1">
        <f t="array" ref="S35">_xlfn.XLOOKUP(1, ('0. GUIDELINES'!$E$3=[1]Elasticities!$A:$A) * ("Long"=[1]Elasticities!$B:$B) * ($B$31=[1]Elasticities!$D:$D) * ($C35=[1]Elasticities!$E:$E) * ('2.1 LABOR STRUCTURE'!$E$4=[1]Elasticities!$G:$G), [1]Elasticities!$F:$F)</f>
        <v>-0.6295698881149292</v>
      </c>
      <c r="T35" s="344" cm="1">
        <f t="array" ref="T35">_xlfn.XLOOKUP(1, ('0. GUIDELINES'!$E$3=[1]Elasticities!$A:$A) * ("Middle"=[1]Elasticities!$B:$B) * ($B$31=[1]Elasticities!$D:$D) * ($C35=[1]Elasticities!$E:$E) * ('2.1 LABOR STRUCTURE'!$E$4=[1]Elasticities!$G:$G), [1]Elasticities!$F:$F)</f>
        <v>-0.52099990844726563</v>
      </c>
      <c r="U35" s="454" cm="1">
        <f t="array" ref="U35">_xlfn.XLOOKUP(1, ('0. GUIDELINES'!$E$3=[1]Elasticities!$A:$A) * ("Short"=[1]Elasticities!$B:$B) * ($B$31=[1]Elasticities!$D:$D) * ($C35=[1]Elasticities!$E:$E) * ('2.1 LABOR STRUCTURE'!$E$4=[1]Elasticities!$G:$G), [1]Elasticities!$F:$F)</f>
        <v>-0.54343724250793457</v>
      </c>
      <c r="V35" s="350"/>
      <c r="W35" s="350"/>
      <c r="X35" s="162" t="e" cm="1">
        <f t="array" ref="X35">_xlfn.XLOOKUP(1, ('0. GUIDELINES'!$E$3='[1]Elasticities by year'!$A:$A) * (X$10='[1]Elasticities by year'!$B:$B)* ($C36='[1]Elasticities by year'!$C:$C), '[1]Elasticities by year'!$D:$D)</f>
        <v>#N/A</v>
      </c>
      <c r="Y35" s="162" t="e" cm="1">
        <f t="array" ref="Y35">_xlfn.XLOOKUP(1, ('0. GUIDELINES'!$E$3='[1]Elasticities by year'!$A:$A) * (Y$10='[1]Elasticities by year'!$B:$B)* ($C36='[1]Elasticities by year'!$C:$C), '[1]Elasticities by year'!$D:$D)</f>
        <v>#N/A</v>
      </c>
      <c r="Z35" s="162" t="e" cm="1">
        <f t="array" ref="Z35">_xlfn.XLOOKUP(1, ('0. GUIDELINES'!$E$3='[1]Elasticities by year'!$A:$A) * (Z$10='[1]Elasticities by year'!$B:$B)* ($C36='[1]Elasticities by year'!$C:$C), '[1]Elasticities by year'!$D:$D)</f>
        <v>#N/A</v>
      </c>
      <c r="AA35" s="162" t="e" cm="1">
        <f t="array" ref="AA35">_xlfn.XLOOKUP(1, ('0. GUIDELINES'!$E$3='[1]Elasticities by year'!$A:$A) * (AA$10='[1]Elasticities by year'!$B:$B)* ($C36='[1]Elasticities by year'!$C:$C), '[1]Elasticities by year'!$D:$D)</f>
        <v>#N/A</v>
      </c>
      <c r="AB35" s="162" t="e" cm="1">
        <f t="array" ref="AB35">_xlfn.XLOOKUP(1, ('0. GUIDELINES'!$E$3='[1]Elasticities by year'!$A:$A) * (AB$10='[1]Elasticities by year'!$B:$B)* ($C36='[1]Elasticities by year'!$C:$C), '[1]Elasticities by year'!$D:$D)</f>
        <v>#N/A</v>
      </c>
      <c r="AC35" s="162" t="e" cm="1">
        <f t="array" ref="AC35">_xlfn.XLOOKUP(1, ('0. GUIDELINES'!$E$3='[1]Elasticities by year'!$A:$A) * (AC$10='[1]Elasticities by year'!$B:$B)* ($C36='[1]Elasticities by year'!$C:$C), '[1]Elasticities by year'!$D:$D)</f>
        <v>#N/A</v>
      </c>
      <c r="AD35" s="162" t="e" cm="1">
        <f t="array" ref="AD35">_xlfn.XLOOKUP(1, ('0. GUIDELINES'!$E$3='[1]Elasticities by year'!$A:$A) * (AD$10='[1]Elasticities by year'!$B:$B)* ($C36='[1]Elasticities by year'!$C:$C), '[1]Elasticities by year'!$D:$D)</f>
        <v>#N/A</v>
      </c>
      <c r="AE35" s="162" t="e" cm="1">
        <f t="array" ref="AE35">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ref="AH35">_xlfn.XLOOKUP(1, ('0. GUIDELINES'!$E$3='[1]Elasticities by year'!$A:$A) * (AH$10='[1]Elasticities by year'!$B:$B)* ($C36='[1]Elasticities by year'!$C:$C), '[1]Elasticities by year'!$D:$D)</f>
        <v>#N/A</v>
      </c>
      <c r="AI35" s="162" t="e" cm="1">
        <f t="array" ref="AI35">_xlfn.XLOOKUP(1, ('0. GUIDELINES'!$E$3='[1]Elasticities by year'!$A:$A) * (AI$10='[1]Elasticities by year'!$B:$B)* ($C36='[1]Elasticities by year'!$C:$C), '[1]Elasticities by year'!$D:$D)</f>
        <v>#N/A</v>
      </c>
      <c r="AJ35" s="162" t="e" cm="1">
        <f t="array" ref="AJ35">_xlfn.XLOOKUP(1, ('0. GUIDELINES'!$E$3='[1]Elasticities by year'!$A:$A) * (AJ$10='[1]Elasticities by year'!$B:$B)* ($C36='[1]Elasticities by year'!$C:$C), '[1]Elasticities by year'!$D:$D)</f>
        <v>#N/A</v>
      </c>
      <c r="AK35" s="162" t="e" cm="1">
        <f t="array" ref="AK35">_xlfn.XLOOKUP(1, ('0. GUIDELINES'!$E$3='[1]Elasticities by year'!$A:$A) * (AK$10='[1]Elasticities by year'!$B:$B)* ($C36='[1]Elasticities by year'!$C:$C), '[1]Elasticities by year'!$D:$D)</f>
        <v>#N/A</v>
      </c>
      <c r="AL35" s="162" t="e" cm="1">
        <f t="array" ref="AL35">_xlfn.XLOOKUP(1, ('0. GUIDELINES'!$E$3='[1]Elasticities by year'!$A:$A) * (AL$10='[1]Elasticities by year'!$B:$B)* ($C36='[1]Elasticities by year'!$C:$C), '[1]Elasticities by year'!$D:$D)</f>
        <v>#N/A</v>
      </c>
      <c r="AM35" s="162" t="e" cm="1">
        <f t="array" ref="AM35">_xlfn.XLOOKUP(1, ('0. GUIDELINES'!$E$3='[1]Elasticities by year'!$A:$A) * (AM$10='[1]Elasticities by year'!$B:$B)* ($C36='[1]Elasticities by year'!$C:$C), '[1]Elasticities by year'!$D:$D)</f>
        <v>#N/A</v>
      </c>
      <c r="AN35" s="162" t="e" cm="1">
        <f t="array" ref="AN35">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619</v>
      </c>
      <c r="J36" s="133"/>
      <c r="K36" s="133">
        <v>-0.05</v>
      </c>
      <c r="L36" s="133">
        <f t="shared" ref="L36:N36" si="9">K36</f>
        <v>-0.05</v>
      </c>
      <c r="M36" s="133">
        <v>0.14000000000000001</v>
      </c>
      <c r="N36" s="133">
        <f t="shared" si="9"/>
        <v>0.14000000000000001</v>
      </c>
      <c r="O36" s="406"/>
      <c r="P36" s="344" cm="1">
        <f t="array" ref="P36">_xlfn.XLOOKUP(1, ('0. GUIDELINES'!$E$3=[1]Elasticities!$A:$A) * ("Long"=[1]Elasticities!$B:$B) * ($A$31=[1]Elasticities!$D:$D) * ($C36=[1]Elasticities!$E:$E) * ('2.1 LABOR STRUCTURE'!$E$4=[1]Elasticities!$G:$G), [1]Elasticities!$F:$F)</f>
        <v>0.13680732250213623</v>
      </c>
      <c r="Q36" s="344" cm="1">
        <f t="array" ref="Q36">_xlfn.XLOOKUP(1, ('0. GUIDELINES'!$E$3=[1]Elasticities!$A:$A) * ("Middle"=[1]Elasticities!$B:$B) * ($A$31=[1]Elasticities!$D:$D) * ($C36=[1]Elasticities!$E:$E) * ('2.1 LABOR STRUCTURE'!$E$4=[1]Elasticities!$G:$G), [1]Elasticities!$F:$F)</f>
        <v>0.13680732250213623</v>
      </c>
      <c r="R36" s="345" cm="1">
        <f t="array" ref="R36">_xlfn.XLOOKUP(1, ('0. GUIDELINES'!$E$3=[1]Elasticities!$A:$A) * ("Short"=[1]Elasticities!$B:$B) * ($A$31=[1]Elasticities!$D:$D) * ($C36=[1]Elasticities!$E:$E) * ('2.1 LABOR STRUCTURE'!$E$4=[1]Elasticities!$G:$G), [1]Elasticities!$F:$F)</f>
        <v>-5.4674252867698669E-2</v>
      </c>
      <c r="S36" s="344" cm="1">
        <f t="array" ref="S36">_xlfn.XLOOKUP(1, ('0. GUIDELINES'!$E$3=[1]Elasticities!$A:$A) * ("Long"=[1]Elasticities!$B:$B) * ($B$31=[1]Elasticities!$D:$D) * ($C36=[1]Elasticities!$E:$E) * ('2.1 LABOR STRUCTURE'!$E$4=[1]Elasticities!$G:$G), [1]Elasticities!$F:$F)</f>
        <v>0.28552675247192383</v>
      </c>
      <c r="T36" s="344" cm="1">
        <f t="array" ref="T36">_xlfn.XLOOKUP(1, ('0. GUIDELINES'!$E$3=[1]Elasticities!$A:$A) * ("Middle"=[1]Elasticities!$B:$B) * ($B$31=[1]Elasticities!$D:$D) * ($C36=[1]Elasticities!$E:$E) * ('2.1 LABOR STRUCTURE'!$E$4=[1]Elasticities!$G:$G), [1]Elasticities!$F:$F)</f>
        <v>0.40208545327186584</v>
      </c>
      <c r="U36" s="454" cm="1">
        <f t="array" ref="U36">_xlfn.XLOOKUP(1, ('0. GUIDELINES'!$E$3=[1]Elasticities!$A:$A) * ("Short"=[1]Elasticities!$B:$B) * ($B$31=[1]Elasticities!$D:$D) * ($C36=[1]Elasticities!$E:$E) * ('2.1 LABOR STRUCTURE'!$E$4=[1]Elasticities!$G:$G), [1]Elasticities!$F:$F)</f>
        <v>0.3708035945892334</v>
      </c>
      <c r="V36" s="350"/>
      <c r="W36" s="350"/>
      <c r="X36" s="162" t="e" cm="1">
        <f t="array" ref="X36">_xlfn.XLOOKUP(1, ('0. GUIDELINES'!$E$3='[1]Elasticities by year'!$A:$A) * (X$10='[1]Elasticities by year'!$B:$B)* ($C37='[1]Elasticities by year'!$C:$C), '[1]Elasticities by year'!$D:$D)</f>
        <v>#N/A</v>
      </c>
      <c r="Y36" s="162" t="e" cm="1">
        <f t="array" ref="Y36">_xlfn.XLOOKUP(1, ('0. GUIDELINES'!$E$3='[1]Elasticities by year'!$A:$A) * (Y$10='[1]Elasticities by year'!$B:$B)* ($C37='[1]Elasticities by year'!$C:$C), '[1]Elasticities by year'!$D:$D)</f>
        <v>#N/A</v>
      </c>
      <c r="Z36" s="162" t="e" cm="1">
        <f t="array" ref="Z36">_xlfn.XLOOKUP(1, ('0. GUIDELINES'!$E$3='[1]Elasticities by year'!$A:$A) * (Z$10='[1]Elasticities by year'!$B:$B)* ($C37='[1]Elasticities by year'!$C:$C), '[1]Elasticities by year'!$D:$D)</f>
        <v>#N/A</v>
      </c>
      <c r="AA36" s="162" t="e" cm="1">
        <f t="array" ref="AA36">_xlfn.XLOOKUP(1, ('0. GUIDELINES'!$E$3='[1]Elasticities by year'!$A:$A) * (AA$10='[1]Elasticities by year'!$B:$B)* ($C37='[1]Elasticities by year'!$C:$C), '[1]Elasticities by year'!$D:$D)</f>
        <v>#N/A</v>
      </c>
      <c r="AB36" s="162" t="e" cm="1">
        <f t="array" ref="AB36">_xlfn.XLOOKUP(1, ('0. GUIDELINES'!$E$3='[1]Elasticities by year'!$A:$A) * (AB$10='[1]Elasticities by year'!$B:$B)* ($C37='[1]Elasticities by year'!$C:$C), '[1]Elasticities by year'!$D:$D)</f>
        <v>#N/A</v>
      </c>
      <c r="AC36" s="162" t="e" cm="1">
        <f t="array" ref="AC36">_xlfn.XLOOKUP(1, ('0. GUIDELINES'!$E$3='[1]Elasticities by year'!$A:$A) * (AC$10='[1]Elasticities by year'!$B:$B)* ($C37='[1]Elasticities by year'!$C:$C), '[1]Elasticities by year'!$D:$D)</f>
        <v>#N/A</v>
      </c>
      <c r="AD36" s="162" t="e" cm="1">
        <f t="array" ref="AD36">_xlfn.XLOOKUP(1, ('0. GUIDELINES'!$E$3='[1]Elasticities by year'!$A:$A) * (AD$10='[1]Elasticities by year'!$B:$B)* ($C37='[1]Elasticities by year'!$C:$C), '[1]Elasticities by year'!$D:$D)</f>
        <v>#N/A</v>
      </c>
      <c r="AE36" s="162" t="e" cm="1">
        <f t="array" ref="AE36">_xlfn.XLOOKUP(1, ('0. GUIDELINES'!$E$3='[1]Elasticities by year'!$A:$A) * (AE$10='[1]Elasticities by year'!$B:$B)* ($C37='[1]Elasticities by year'!$C:$C), '[1]Elasticities by year'!$D:$D)</f>
        <v>#N/A</v>
      </c>
      <c r="AF36" s="162" t="e" cm="1">
        <f t="array" ref="AF36">_xlfn.XLOOKUP(1, ('0. GUIDELINES'!$E$3='[1]Elasticities by year'!$A:$A) * (AF$10='[1]Elasticities by year'!$B:$B)* ($C37='[1]Elasticities by year'!$C:$C), '[1]Elasticities by year'!$D:$D)</f>
        <v>#N/A</v>
      </c>
      <c r="AG36" s="162" t="e" cm="1">
        <f t="array" ref="AG36">_xlfn.XLOOKUP(1, ('0. GUIDELINES'!$E$3='[1]Elasticities by year'!$A:$A) * (AG$10='[1]Elasticities by year'!$B:$B)* ($C37='[1]Elasticities by year'!$C:$C), '[1]Elasticities by year'!$D:$D)</f>
        <v>#N/A</v>
      </c>
      <c r="AH36" s="162" t="e" cm="1">
        <f t="array" ref="AH36">_xlfn.XLOOKUP(1, ('0. GUIDELINES'!$E$3='[1]Elasticities by year'!$A:$A) * (AH$10='[1]Elasticities by year'!$B:$B)* ($C37='[1]Elasticities by year'!$C:$C), '[1]Elasticities by year'!$D:$D)</f>
        <v>#N/A</v>
      </c>
      <c r="AI36" s="162" t="e" cm="1">
        <f t="array" ref="AI36">_xlfn.XLOOKUP(1, ('0. GUIDELINES'!$E$3='[1]Elasticities by year'!$A:$A) * (AI$10='[1]Elasticities by year'!$B:$B)* ($C37='[1]Elasticities by year'!$C:$C), '[1]Elasticities by year'!$D:$D)</f>
        <v>#N/A</v>
      </c>
      <c r="AJ36" s="162" t="e" cm="1">
        <f t="array" ref="AJ36">_xlfn.XLOOKUP(1, ('0. GUIDELINES'!$E$3='[1]Elasticities by year'!$A:$A) * (AJ$10='[1]Elasticities by year'!$B:$B)* ($C37='[1]Elasticities by year'!$C:$C), '[1]Elasticities by year'!$D:$D)</f>
        <v>#N/A</v>
      </c>
      <c r="AK36" s="162" t="e" cm="1">
        <f t="array" ref="AK36">_xlfn.XLOOKUP(1, ('0. GUIDELINES'!$E$3='[1]Elasticities by year'!$A:$A) * (AK$10='[1]Elasticities by year'!$B:$B)* ($C37='[1]Elasticities by year'!$C:$C), '[1]Elasticities by year'!$D:$D)</f>
        <v>#N/A</v>
      </c>
      <c r="AL36" s="162" t="e" cm="1">
        <f t="array" ref="AL36">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ref="AN36">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c r="D37" s="123"/>
      <c r="E37" s="130"/>
      <c r="F37" s="84"/>
      <c r="G37" s="84"/>
      <c r="H37" s="84"/>
      <c r="I37" s="134"/>
      <c r="J37" s="133"/>
      <c r="K37" s="133"/>
      <c r="L37" s="133"/>
      <c r="M37" s="133"/>
      <c r="N37" s="133"/>
      <c r="O37" s="406"/>
      <c r="P37" s="344"/>
      <c r="Q37" s="344"/>
      <c r="R37" s="345"/>
      <c r="S37" s="344"/>
      <c r="T37" s="344"/>
      <c r="U37" s="454"/>
      <c r="V37" s="350"/>
      <c r="W37" s="350"/>
      <c r="X37" s="162"/>
      <c r="Y37" s="162"/>
      <c r="Z37" s="162"/>
      <c r="AA37" s="162"/>
      <c r="AB37" s="162"/>
      <c r="AC37" s="162"/>
      <c r="AD37" s="162"/>
      <c r="AE37" s="162"/>
      <c r="AF37" s="162"/>
      <c r="AG37" s="162"/>
      <c r="AH37" s="162"/>
      <c r="AI37" s="162"/>
      <c r="AJ37" s="162"/>
      <c r="AK37" s="162"/>
      <c r="AL37" s="162"/>
      <c r="AM37" s="162"/>
      <c r="AN37" s="162"/>
      <c r="AP37" s="343"/>
      <c r="AQ37" s="343"/>
      <c r="AR37" s="343"/>
      <c r="AU37" s="84"/>
      <c r="AV37" s="84"/>
      <c r="AW37" s="84"/>
      <c r="AX37" s="84"/>
      <c r="AY37" s="84"/>
      <c r="AZ37" s="84"/>
      <c r="BA37" s="84"/>
      <c r="BB37" s="84"/>
    </row>
    <row r="38" spans="1:54" ht="14.25" x14ac:dyDescent="0.2">
      <c r="A38" s="87"/>
      <c r="B38" s="87"/>
      <c r="C38" s="87"/>
      <c r="D38" s="123"/>
      <c r="E38" s="130"/>
      <c r="F38" s="84"/>
      <c r="G38" s="84"/>
      <c r="H38" s="84"/>
      <c r="I38" s="134"/>
      <c r="J38" s="133"/>
      <c r="K38" s="133"/>
      <c r="L38" s="133"/>
      <c r="M38" s="133"/>
      <c r="N38" s="133"/>
      <c r="O38" s="406"/>
      <c r="P38" s="344"/>
      <c r="Q38" s="344"/>
      <c r="R38" s="345"/>
      <c r="S38" s="344"/>
      <c r="T38" s="344"/>
      <c r="U38" s="454"/>
      <c r="V38" s="350"/>
      <c r="X38" s="162"/>
      <c r="Y38" s="162"/>
      <c r="Z38" s="162"/>
      <c r="AA38" s="162"/>
      <c r="AB38" s="162"/>
      <c r="AC38" s="162"/>
      <c r="AD38" s="162"/>
      <c r="AE38" s="162"/>
      <c r="AF38" s="162"/>
      <c r="AG38" s="162"/>
      <c r="AH38" s="162"/>
      <c r="AI38" s="162"/>
      <c r="AJ38" s="162"/>
      <c r="AK38" s="162"/>
      <c r="AL38" s="162"/>
      <c r="AM38" s="162"/>
      <c r="AN38" s="162"/>
      <c r="AP38" s="343"/>
      <c r="AQ38" s="343"/>
      <c r="AR38" s="343"/>
      <c r="AU38" s="84"/>
      <c r="AV38" s="84"/>
      <c r="AW38" s="84"/>
      <c r="AX38" s="84"/>
      <c r="AY38" s="84"/>
      <c r="AZ38" s="84"/>
      <c r="BA38" s="84"/>
      <c r="BB38" s="84"/>
    </row>
    <row r="39" spans="1:54" ht="14.25" x14ac:dyDescent="0.2">
      <c r="A39" s="87"/>
      <c r="B39" s="87"/>
      <c r="C39" s="87"/>
      <c r="D39" s="123"/>
      <c r="E39" s="130"/>
      <c r="F39" s="84"/>
      <c r="G39" s="84"/>
      <c r="H39" s="84"/>
      <c r="I39" s="134"/>
      <c r="J39" s="133"/>
      <c r="K39" s="133"/>
      <c r="L39" s="133"/>
      <c r="M39" s="133"/>
      <c r="N39" s="133"/>
      <c r="O39" s="341"/>
      <c r="P39" s="344"/>
      <c r="Q39" s="344"/>
      <c r="R39" s="345"/>
      <c r="S39" s="344"/>
      <c r="T39" s="344"/>
      <c r="U39" s="454"/>
      <c r="V39" s="350"/>
      <c r="W39" s="350"/>
      <c r="X39" s="162"/>
      <c r="Y39" s="162"/>
      <c r="Z39" s="162"/>
      <c r="AA39" s="162"/>
      <c r="AB39" s="162"/>
      <c r="AC39" s="162"/>
      <c r="AD39" s="162"/>
      <c r="AE39" s="162"/>
      <c r="AF39" s="162"/>
      <c r="AG39" s="162"/>
      <c r="AH39" s="162"/>
      <c r="AI39" s="162"/>
      <c r="AJ39" s="162"/>
      <c r="AK39" s="162"/>
      <c r="AL39" s="162"/>
      <c r="AM39" s="162"/>
      <c r="AN39" s="162"/>
      <c r="AP39" s="343"/>
      <c r="AQ39" s="343"/>
      <c r="AR39" s="343"/>
      <c r="AU39" s="84"/>
      <c r="AV39" s="84"/>
      <c r="AW39" s="84"/>
      <c r="AX39" s="84"/>
      <c r="AY39" s="84"/>
      <c r="AZ39" s="84"/>
      <c r="BA39" s="84"/>
      <c r="BB39" s="84"/>
    </row>
    <row r="40" spans="1:54" ht="14.25" x14ac:dyDescent="0.2">
      <c r="A40" s="87"/>
      <c r="B40" s="87"/>
      <c r="C40" s="87"/>
      <c r="D40" s="123"/>
      <c r="E40" s="130"/>
      <c r="F40" s="84"/>
      <c r="G40" s="84"/>
      <c r="H40" s="84"/>
      <c r="I40" s="134"/>
      <c r="J40" s="133"/>
      <c r="K40" s="133"/>
      <c r="L40" s="133"/>
      <c r="M40" s="133"/>
      <c r="N40" s="133"/>
      <c r="O40" s="341"/>
      <c r="P40" s="344"/>
      <c r="Q40" s="344"/>
      <c r="R40" s="345"/>
      <c r="S40" s="344"/>
      <c r="T40" s="344"/>
      <c r="U40" s="454"/>
      <c r="X40" s="162"/>
      <c r="Y40" s="162"/>
      <c r="Z40" s="162"/>
      <c r="AA40" s="162"/>
      <c r="AB40" s="162"/>
      <c r="AC40" s="162"/>
      <c r="AD40" s="162"/>
      <c r="AE40" s="162"/>
      <c r="AF40" s="162"/>
      <c r="AG40" s="162"/>
      <c r="AH40" s="162"/>
      <c r="AI40" s="162"/>
      <c r="AJ40" s="162"/>
      <c r="AK40" s="162"/>
      <c r="AL40" s="162"/>
      <c r="AM40" s="162"/>
      <c r="AN40" s="162"/>
      <c r="AP40" s="343"/>
      <c r="AQ40" s="343"/>
      <c r="AR40" s="343"/>
      <c r="AT40" s="563"/>
      <c r="AU40" s="563"/>
      <c r="AV40" s="84"/>
      <c r="AW40" s="84"/>
      <c r="AX40" s="84"/>
      <c r="AY40" s="84"/>
      <c r="AZ40" s="84"/>
      <c r="BA40" s="84"/>
      <c r="BB40" s="84"/>
    </row>
    <row r="41" spans="1:54" ht="14.25" x14ac:dyDescent="0.2">
      <c r="A41" s="87"/>
      <c r="B41" s="87"/>
      <c r="C41" s="87"/>
      <c r="D41" s="123"/>
      <c r="E41" s="130"/>
      <c r="F41" s="84"/>
      <c r="G41" s="84"/>
      <c r="H41" s="84"/>
      <c r="I41" s="134"/>
      <c r="J41" s="133"/>
      <c r="K41" s="133"/>
      <c r="L41" s="133"/>
      <c r="M41" s="133"/>
      <c r="N41" s="133"/>
      <c r="O41" s="341"/>
      <c r="P41" s="344"/>
      <c r="Q41" s="344"/>
      <c r="R41" s="345"/>
      <c r="S41" s="344"/>
      <c r="T41" s="344"/>
      <c r="U41" s="454"/>
      <c r="X41" s="163"/>
      <c r="Y41" s="163"/>
      <c r="Z41" s="163"/>
      <c r="AA41" s="163"/>
      <c r="AB41" s="163"/>
      <c r="AC41" s="163"/>
      <c r="AD41" s="163"/>
      <c r="AE41" s="163"/>
      <c r="AF41" s="163"/>
      <c r="AG41" s="163"/>
      <c r="AH41" s="163"/>
      <c r="AI41" s="163"/>
      <c r="AJ41" s="163"/>
      <c r="AK41" s="163"/>
      <c r="AL41" s="163"/>
      <c r="AM41" s="163"/>
      <c r="AN41" s="163"/>
      <c r="AP41" s="343"/>
      <c r="AQ41" s="343"/>
      <c r="AR41" s="343"/>
      <c r="AT41" s="131"/>
      <c r="AU41" s="131"/>
      <c r="AV41" s="84"/>
      <c r="AW41" s="84"/>
      <c r="AX41" s="84"/>
      <c r="AY41" s="84"/>
      <c r="AZ41" s="84"/>
      <c r="BA41" s="84"/>
      <c r="BB41" s="84"/>
    </row>
    <row r="42" spans="1:54" ht="14.25" x14ac:dyDescent="0.2">
      <c r="A42" s="87"/>
      <c r="B42" s="87"/>
      <c r="C42" s="87"/>
      <c r="D42" s="123"/>
      <c r="E42" s="130"/>
      <c r="F42" s="84"/>
      <c r="G42" s="84"/>
      <c r="H42" s="84"/>
      <c r="I42" s="160"/>
      <c r="J42" s="161"/>
      <c r="K42" s="133"/>
      <c r="L42" s="133"/>
      <c r="M42" s="133"/>
      <c r="N42" s="133"/>
      <c r="O42" s="341"/>
      <c r="P42" s="346"/>
      <c r="Q42" s="346"/>
      <c r="R42" s="347"/>
      <c r="S42" s="346"/>
      <c r="T42" s="346"/>
      <c r="U42" s="454"/>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64" t="s">
        <v>194</v>
      </c>
      <c r="J43" s="564"/>
      <c r="K43" s="564"/>
      <c r="L43" s="564"/>
      <c r="M43" s="564"/>
      <c r="N43" s="564"/>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65"/>
      <c r="J44" s="565"/>
      <c r="K44" s="565"/>
      <c r="L44" s="565"/>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7">
    <mergeCell ref="I44:L44"/>
    <mergeCell ref="S8:U9"/>
    <mergeCell ref="S28:U29"/>
    <mergeCell ref="I28:I30"/>
    <mergeCell ref="J28:N29"/>
    <mergeCell ref="P28:R29"/>
    <mergeCell ref="I24:N24"/>
    <mergeCell ref="I25:N25"/>
    <mergeCell ref="I8:I10"/>
    <mergeCell ref="P8:R9"/>
    <mergeCell ref="P26:U26"/>
    <mergeCell ref="AT4:BA4"/>
    <mergeCell ref="G9:G10"/>
    <mergeCell ref="I3:U5"/>
    <mergeCell ref="AT40:AU40"/>
    <mergeCell ref="I43:N43"/>
    <mergeCell ref="I2:U2"/>
    <mergeCell ref="E2:G2"/>
    <mergeCell ref="X27:AN28"/>
    <mergeCell ref="X8:AN9"/>
    <mergeCell ref="X2:AN2"/>
    <mergeCell ref="E5:G8"/>
    <mergeCell ref="E9:F10"/>
    <mergeCell ref="P7:R7"/>
    <mergeCell ref="P27:R27"/>
    <mergeCell ref="S7:U7"/>
    <mergeCell ref="S27:U27"/>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A16" zoomScale="115" zoomScaleNormal="115" workbookViewId="0">
      <selection activeCell="Y32" sqref="Y32"/>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22" width="8.5703125" style="164" hidden="1" customWidth="1"/>
    <col min="23"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70" t="s">
        <v>195</v>
      </c>
      <c r="F2" s="570"/>
      <c r="G2" s="570"/>
      <c r="H2" s="570"/>
      <c r="I2" s="570"/>
      <c r="J2" s="570"/>
      <c r="K2" s="570"/>
      <c r="L2" s="570"/>
      <c r="M2" s="570"/>
      <c r="N2" s="570"/>
      <c r="O2" s="570"/>
      <c r="P2" s="570"/>
      <c r="Q2" s="570"/>
      <c r="R2" s="570"/>
      <c r="S2" s="570"/>
      <c r="T2" s="570"/>
      <c r="U2" s="570"/>
      <c r="V2" s="570"/>
      <c r="W2" s="570"/>
      <c r="X2" s="570"/>
      <c r="Y2" s="570"/>
      <c r="Z2" s="570"/>
      <c r="AA2" s="570"/>
      <c r="AB2" s="570"/>
      <c r="AC2" s="570"/>
      <c r="AD2" s="570"/>
      <c r="AE2" s="570"/>
      <c r="AF2" s="570"/>
      <c r="AG2" s="570"/>
      <c r="AH2" s="570"/>
      <c r="AI2" s="570"/>
      <c r="AJ2" s="570"/>
      <c r="AK2" s="570"/>
      <c r="AL2" s="570"/>
      <c r="AM2" s="570"/>
      <c r="AN2" s="570"/>
      <c r="AO2" s="570"/>
      <c r="AP2" s="570"/>
      <c r="AQ2" s="570"/>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68" t="s">
        <v>196</v>
      </c>
      <c r="C4" s="568"/>
      <c r="E4" s="571" t="s">
        <v>503</v>
      </c>
      <c r="F4" s="571"/>
      <c r="G4" s="571"/>
      <c r="H4" s="571"/>
      <c r="I4" s="571"/>
      <c r="J4" s="571"/>
      <c r="K4" s="571"/>
      <c r="L4" s="571"/>
      <c r="M4" s="571"/>
      <c r="N4" s="571"/>
      <c r="O4" s="571"/>
      <c r="P4" s="571"/>
      <c r="Q4" s="571"/>
      <c r="R4" s="571"/>
      <c r="S4" s="571"/>
      <c r="T4" s="571"/>
      <c r="U4" s="571"/>
      <c r="V4" s="571"/>
      <c r="W4" s="571"/>
      <c r="X4" s="571"/>
      <c r="Y4" s="571"/>
      <c r="Z4" s="571"/>
      <c r="AA4" s="571"/>
      <c r="AB4" s="571"/>
      <c r="AC4" s="571"/>
      <c r="AD4" s="571"/>
      <c r="AE4" s="571"/>
      <c r="AF4" s="571"/>
      <c r="AG4" s="571"/>
      <c r="AH4" s="571"/>
      <c r="AI4" s="571"/>
      <c r="AJ4" s="571"/>
      <c r="AK4" s="571"/>
      <c r="AL4" s="571"/>
      <c r="AM4" s="571"/>
      <c r="AN4" s="571"/>
      <c r="AO4" s="571"/>
      <c r="AP4" s="571"/>
      <c r="AQ4" s="571"/>
    </row>
    <row r="5" spans="2:44" x14ac:dyDescent="0.2">
      <c r="B5" s="568"/>
      <c r="C5" s="568"/>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68"/>
      <c r="C6" s="568"/>
      <c r="E6" s="569" t="s">
        <v>130</v>
      </c>
      <c r="F6" s="169"/>
      <c r="G6" s="169"/>
      <c r="H6" s="169"/>
      <c r="I6" s="169"/>
      <c r="J6" s="169"/>
      <c r="K6" s="169"/>
      <c r="L6" s="169"/>
      <c r="M6" s="169"/>
      <c r="N6" s="169"/>
      <c r="O6" s="169"/>
      <c r="P6" s="169"/>
      <c r="Q6" s="169"/>
      <c r="R6" s="169"/>
      <c r="S6" s="169"/>
      <c r="T6" s="169"/>
      <c r="U6" s="169"/>
      <c r="V6" s="169"/>
      <c r="W6" s="169"/>
      <c r="X6" s="169"/>
      <c r="Y6" s="573" t="s">
        <v>7</v>
      </c>
      <c r="Z6" s="573"/>
      <c r="AA6" s="573"/>
      <c r="AB6" s="165"/>
      <c r="AC6" s="165"/>
      <c r="AD6" s="165"/>
      <c r="AE6" s="165"/>
      <c r="AF6" s="165"/>
      <c r="AG6" s="165"/>
      <c r="AH6" s="165"/>
      <c r="AI6" s="165"/>
      <c r="AJ6" s="165"/>
      <c r="AK6" s="165"/>
      <c r="AL6" s="165"/>
      <c r="AM6" s="165"/>
      <c r="AN6" s="165"/>
      <c r="AO6" s="165"/>
      <c r="AP6" s="165"/>
      <c r="AQ6" s="165"/>
      <c r="AR6" s="165"/>
    </row>
    <row r="7" spans="2:44" x14ac:dyDescent="0.2">
      <c r="B7" s="539" t="s">
        <v>197</v>
      </c>
      <c r="C7" s="572"/>
      <c r="E7" s="569"/>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39"/>
      <c r="C8" s="572"/>
      <c r="E8" s="353" t="s">
        <v>17</v>
      </c>
      <c r="F8" s="354" t="e">
        <v>#N/A</v>
      </c>
      <c r="G8" s="354" t="e">
        <f>+('2.1 LABOR STRUCTURE'!J9/'2.1 LABOR STRUCTURE'!I9-1)*100</f>
        <v>#N/A</v>
      </c>
      <c r="H8" s="354" t="e">
        <f>+('2.1 LABOR STRUCTURE'!K9/'2.1 LABOR STRUCTURE'!J9-1)*100</f>
        <v>#N/A</v>
      </c>
      <c r="I8" s="354" t="e">
        <f>+('2.1 LABOR STRUCTURE'!L9/'2.1 LABOR STRUCTURE'!K9-1)*100</f>
        <v>#N/A</v>
      </c>
      <c r="J8" s="354" t="e">
        <f>+('2.1 LABOR STRUCTURE'!M9/'2.1 LABOR STRUCTURE'!L9-1)*100</f>
        <v>#N/A</v>
      </c>
      <c r="K8" s="354" t="e">
        <f>+('2.1 LABOR STRUCTURE'!N9/'2.1 LABOR STRUCTURE'!M9-1)*100</f>
        <v>#N/A</v>
      </c>
      <c r="L8" s="354" t="e">
        <f>+('2.1 LABOR STRUCTURE'!O9/'2.1 LABOR STRUCTURE'!N9-1)*100</f>
        <v>#N/A</v>
      </c>
      <c r="M8" s="354" t="e">
        <f>+('2.1 LABOR STRUCTURE'!P9/'2.1 LABOR STRUCTURE'!O9-1)*100</f>
        <v>#N/A</v>
      </c>
      <c r="N8" s="354" t="e">
        <f>+('2.1 LABOR STRUCTURE'!Q9/'2.1 LABOR STRUCTURE'!P9-1)*100</f>
        <v>#N/A</v>
      </c>
      <c r="O8" s="354" t="e">
        <f>+('2.1 LABOR STRUCTURE'!R9/'2.1 LABOR STRUCTURE'!Q9-1)*100</f>
        <v>#N/A</v>
      </c>
      <c r="P8" s="354" t="e">
        <f>+('2.1 LABOR STRUCTURE'!S9/'2.1 LABOR STRUCTURE'!R9-1)*100</f>
        <v>#N/A</v>
      </c>
      <c r="Q8" s="354" t="e">
        <f>+('2.1 LABOR STRUCTURE'!T9/'2.1 LABOR STRUCTURE'!S9-1)*100</f>
        <v>#N/A</v>
      </c>
      <c r="R8" s="354" t="e">
        <f>+('2.1 LABOR STRUCTURE'!U9/'2.1 LABOR STRUCTURE'!T9-1)*100</f>
        <v>#N/A</v>
      </c>
      <c r="S8" s="355" t="e">
        <f>+('2.1 LABOR STRUCTURE'!V9/'2.1 LABOR STRUCTURE'!U9-1)*100</f>
        <v>#N/A</v>
      </c>
      <c r="T8" s="355" t="e">
        <f>+('2.1 LABOR STRUCTURE'!W9/'2.1 LABOR STRUCTURE'!V9-1)*100</f>
        <v>#N/A</v>
      </c>
      <c r="U8" s="355" t="e">
        <f>+('2.1 LABOR STRUCTURE'!X9/'2.1 LABOR STRUCTURE'!W9-1)*100</f>
        <v>#N/A</v>
      </c>
      <c r="V8" s="355" t="e">
        <f>+('2.1 LABOR STRUCTURE'!Y9/'2.1 LABOR STRUCTURE'!X9-1)*100</f>
        <v>#N/A</v>
      </c>
      <c r="W8" s="355" t="e">
        <f>+('2.1 LABOR STRUCTURE'!Z9/'2.1 LABOR STRUCTURE'!Y9-1)*100</f>
        <v>#N/A</v>
      </c>
      <c r="X8" s="355">
        <f>'1. GDP'!Z40*ELASTICITY!K$11</f>
        <v>-0.17325327226045117</v>
      </c>
      <c r="Y8" s="172">
        <f>'1. GDP'!AA40*ELASTICITY!L$11</f>
        <v>2.0224022262522299</v>
      </c>
      <c r="Z8" s="172">
        <f>'1. GDP'!AB40*ELASTICITY!M$11</f>
        <v>1.5909647793205723</v>
      </c>
      <c r="AA8" s="172">
        <f>'1. GDP'!AC40*ELASTICITY!N$11</f>
        <v>1.184382063424434</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+('2.1 LABOR STRUCTURE'!J10/'2.1 LABOR STRUCTURE'!I10-1)*100</f>
        <v>#N/A</v>
      </c>
      <c r="H9" s="354" t="e">
        <f>+('2.1 LABOR STRUCTURE'!K10/'2.1 LABOR STRUCTURE'!J10-1)*100</f>
        <v>#N/A</v>
      </c>
      <c r="I9" s="354" t="e">
        <f>+('2.1 LABOR STRUCTURE'!L10/'2.1 LABOR STRUCTURE'!K10-1)*100</f>
        <v>#N/A</v>
      </c>
      <c r="J9" s="354" t="e">
        <f>+('2.1 LABOR STRUCTURE'!M10/'2.1 LABOR STRUCTURE'!L10-1)*100</f>
        <v>#N/A</v>
      </c>
      <c r="K9" s="354" t="e">
        <f>+('2.1 LABOR STRUCTURE'!N10/'2.1 LABOR STRUCTURE'!M10-1)*100</f>
        <v>#N/A</v>
      </c>
      <c r="L9" s="354" t="e">
        <f>+('2.1 LABOR STRUCTURE'!O10/'2.1 LABOR STRUCTURE'!N10-1)*100</f>
        <v>#N/A</v>
      </c>
      <c r="M9" s="354" t="e">
        <f>+('2.1 LABOR STRUCTURE'!P10/'2.1 LABOR STRUCTURE'!O10-1)*100</f>
        <v>#N/A</v>
      </c>
      <c r="N9" s="354" t="e">
        <f>+('2.1 LABOR STRUCTURE'!Q10/'2.1 LABOR STRUCTURE'!P10-1)*100</f>
        <v>#N/A</v>
      </c>
      <c r="O9" s="354" t="e">
        <f>+('2.1 LABOR STRUCTURE'!R10/'2.1 LABOR STRUCTURE'!Q10-1)*100</f>
        <v>#N/A</v>
      </c>
      <c r="P9" s="354" t="e">
        <f>+('2.1 LABOR STRUCTURE'!S10/'2.1 LABOR STRUCTURE'!R10-1)*100</f>
        <v>#N/A</v>
      </c>
      <c r="Q9" s="354" t="e">
        <f>+('2.1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('2.1 LABOR STRUCTURE'!AA10/'2.1 LABOR STRUCTURE'!Z10-1)*100</f>
        <v>3.5052897319316934</v>
      </c>
      <c r="Y9" s="173">
        <f>('2.1 LABOR STRUCTURE'!AB10/'2.1 LABOR STRUCTURE'!AA10-1)*100</f>
        <v>1.0538485650249507</v>
      </c>
      <c r="Z9" s="173">
        <f>('2.1 LABOR STRUCTURE'!AC10/'2.1 LABOR STRUCTURE'!AB10-1)*100</f>
        <v>1.2888517259512788</v>
      </c>
      <c r="AA9" s="173">
        <f>('2.1 LABOR STRUCTURE'!AD10/'2.1 LABOR STRUCTURE'!AC10-1)*100</f>
        <v>1.5178599050286845</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+('2.1 LABOR STRUCTURE'!J11/'2.1 LABOR STRUCTURE'!I11-1)*100</f>
        <v>#N/A</v>
      </c>
      <c r="H10" s="354" t="e">
        <f>+('2.1 LABOR STRUCTURE'!K11/'2.1 LABOR STRUCTURE'!J11-1)*100</f>
        <v>#N/A</v>
      </c>
      <c r="I10" s="354" t="e">
        <f>+('2.1 LABOR STRUCTURE'!L11/'2.1 LABOR STRUCTURE'!K11-1)*100</f>
        <v>#N/A</v>
      </c>
      <c r="J10" s="354" t="e">
        <f>+('2.1 LABOR STRUCTURE'!M11/'2.1 LABOR STRUCTURE'!L11-1)*100</f>
        <v>#N/A</v>
      </c>
      <c r="K10" s="354" t="e">
        <f>+('2.1 LABOR STRUCTURE'!N11/'2.1 LABOR STRUCTURE'!M11-1)*100</f>
        <v>#N/A</v>
      </c>
      <c r="L10" s="354" t="e">
        <f>+('2.1 LABOR STRUCTURE'!O11/'2.1 LABOR STRUCTURE'!N11-1)*100</f>
        <v>#N/A</v>
      </c>
      <c r="M10" s="354" t="e">
        <f>+('2.1 LABOR STRUCTURE'!P11/'2.1 LABOR STRUCTURE'!O11-1)*100</f>
        <v>#N/A</v>
      </c>
      <c r="N10" s="354" t="e">
        <f>+('2.1 LABOR STRUCTURE'!Q11/'2.1 LABOR STRUCTURE'!P11-1)*100</f>
        <v>#N/A</v>
      </c>
      <c r="O10" s="354" t="e">
        <f>+('2.1 LABOR STRUCTURE'!R11/'2.1 LABOR STRUCTURE'!Q11-1)*100</f>
        <v>#N/A</v>
      </c>
      <c r="P10" s="354" t="e">
        <f>+('2.1 LABOR STRUCTURE'!S11/'2.1 LABOR STRUCTURE'!R11-1)*100</f>
        <v>#N/A</v>
      </c>
      <c r="Q10" s="354" t="e">
        <f>+('2.1 LABOR STRUCTURE'!T11/'2.1 LABOR STRUCTURE'!S11-1)*100</f>
        <v>#N/A</v>
      </c>
      <c r="R10" s="354" t="e">
        <f>+('2.1 LABOR STRUCTURE'!U11/'2.1 LABOR STRUCTURE'!T11-1)*100</f>
        <v>#N/A</v>
      </c>
      <c r="S10" s="355" t="e">
        <f>+('2.1 LABOR STRUCTURE'!V11/'2.1 LABOR STRUCTURE'!U11-1)*100</f>
        <v>#N/A</v>
      </c>
      <c r="T10" s="355" t="e">
        <f>+('2.1 LABOR STRUCTURE'!W11/'2.1 LABOR STRUCTURE'!V11-1)*100</f>
        <v>#N/A</v>
      </c>
      <c r="U10" s="355" t="e">
        <f>+('2.1 LABOR STRUCTURE'!X11/'2.1 LABOR STRUCTURE'!W11-1)*100</f>
        <v>#N/A</v>
      </c>
      <c r="V10" s="355" t="e">
        <f>+('2.1 LABOR STRUCTURE'!Y11/'2.1 LABOR STRUCTURE'!X11-1)*100</f>
        <v>#N/A</v>
      </c>
      <c r="W10" s="355" t="e">
        <f>+('2.1 LABOR STRUCTURE'!Z11/'2.1 LABOR STRUCTURE'!Y11-1)*100</f>
        <v>#N/A</v>
      </c>
      <c r="X10" s="355">
        <f>('2.1 LABOR STRUCTURE'!AA12/'2.1 LABOR STRUCTURE'!Z12-1)*100</f>
        <v>-11.231597831150165</v>
      </c>
      <c r="Y10" s="174">
        <f>('2.1 LABOR STRUCTURE'!AB12/'2.1 LABOR STRUCTURE'!AA12-1)*100</f>
        <v>9.1713532379983356</v>
      </c>
      <c r="Z10" s="174">
        <f>('2.1 LABOR STRUCTURE'!AC12/'2.1 LABOR STRUCTURE'!AB12-1)*100</f>
        <v>-4.5454556837861482</v>
      </c>
      <c r="AA10" s="174">
        <f>('2.1 LABOR STRUCTURE'!AD12/'2.1 LABOR STRUCTURE'!AC12-1)*100</f>
        <v>-0.48722644642754664</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+('2.1 LABOR STRUCTURE'!J12/'2.1 LABOR STRUCTURE'!I12-1)*100</f>
        <v>#N/A</v>
      </c>
      <c r="H11" s="354" t="e">
        <f>+('2.1 LABOR STRUCTURE'!K12/'2.1 LABOR STRUCTURE'!J12-1)*100</f>
        <v>#N/A</v>
      </c>
      <c r="I11" s="354" t="e">
        <f>+('2.1 LABOR STRUCTURE'!L12/'2.1 LABOR STRUCTURE'!K12-1)*100</f>
        <v>#N/A</v>
      </c>
      <c r="J11" s="354" t="e">
        <f>+('2.1 LABOR STRUCTURE'!M12/'2.1 LABOR STRUCTURE'!L12-1)*100</f>
        <v>#N/A</v>
      </c>
      <c r="K11" s="354" t="e">
        <f>+('2.1 LABOR STRUCTURE'!N12/'2.1 LABOR STRUCTURE'!M12-1)*100</f>
        <v>#N/A</v>
      </c>
      <c r="L11" s="354" t="e">
        <f>+('2.1 LABOR STRUCTURE'!O12/'2.1 LABOR STRUCTURE'!N12-1)*100</f>
        <v>#N/A</v>
      </c>
      <c r="M11" s="354" t="e">
        <f>+('2.1 LABOR STRUCTURE'!P12/'2.1 LABOR STRUCTURE'!O12-1)*100</f>
        <v>#N/A</v>
      </c>
      <c r="N11" s="354" t="e">
        <f>+('2.1 LABOR STRUCTURE'!Q12/'2.1 LABOR STRUCTURE'!P12-1)*100</f>
        <v>#N/A</v>
      </c>
      <c r="O11" s="354" t="e">
        <f>+('2.1 LABOR STRUCTURE'!R12/'2.1 LABOR STRUCTURE'!Q12-1)*100</f>
        <v>#N/A</v>
      </c>
      <c r="P11" s="354" t="e">
        <f>+('2.1 LABOR STRUCTURE'!S12/'2.1 LABOR STRUCTURE'!R12-1)*100</f>
        <v>#N/A</v>
      </c>
      <c r="Q11" s="354" t="e">
        <f>+('2.1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('2.1 LABOR STRUCTURE'!AA11/'2.1 LABOR STRUCTURE'!Z11-1)*100</f>
        <v>0.29158138698726077</v>
      </c>
      <c r="Y11" s="174">
        <f>('2.1 LABOR STRUCTURE'!AB11/'2.1 LABOR STRUCTURE'!AA11-1)*100</f>
        <v>1.7564248917271374</v>
      </c>
      <c r="Z11" s="174">
        <f>('2.1 LABOR STRUCTURE'!AC11/'2.1 LABOR STRUCTURE'!AB11-1)*100</f>
        <v>1.8359073499990997</v>
      </c>
      <c r="AA11" s="174">
        <f>('2.1 LABOR STRUCTURE'!AD11/'2.1 LABOR STRUCTURE'!AC11-1)*100</f>
        <v>1.2469251638853596</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390</v>
      </c>
      <c r="F12" s="354" t="e">
        <f>+(('2.1 LABOR STRUCTURE'!I23)/('2.1 LABOR STRUCTURE'!H23)-1)*100</f>
        <v>#N/A</v>
      </c>
      <c r="G12" s="354" t="e">
        <f>+(('2.1 LABOR STRUCTURE'!J23)/('2.1 LABOR STRUCTURE'!I23)-1)*100</f>
        <v>#N/A</v>
      </c>
      <c r="H12" s="354" t="e">
        <f>+(('2.1 LABOR STRUCTURE'!K23)/('2.1 LABOR STRUCTURE'!J23)-1)*100</f>
        <v>#N/A</v>
      </c>
      <c r="I12" s="354" t="e">
        <f>+(('2.1 LABOR STRUCTURE'!L23)/('2.1 LABOR STRUCTURE'!K23)-1)*100</f>
        <v>#N/A</v>
      </c>
      <c r="J12" s="354" t="e">
        <f>+(('2.1 LABOR STRUCTURE'!M23)/('2.1 LABOR STRUCTURE'!L23)-1)*100</f>
        <v>#N/A</v>
      </c>
      <c r="K12" s="354" t="e">
        <f>+(('2.1 LABOR STRUCTURE'!N23)/('2.1 LABOR STRUCTURE'!M23)-1)*100</f>
        <v>#N/A</v>
      </c>
      <c r="L12" s="354" t="e">
        <f>+(('2.1 LABOR STRUCTURE'!O23)/('2.1 LABOR STRUCTURE'!N23)-1)*100</f>
        <v>#N/A</v>
      </c>
      <c r="M12" s="354" t="e">
        <f>+(('2.1 LABOR STRUCTURE'!P23)/('2.1 LABOR STRUCTURE'!O23)-1)*100</f>
        <v>#N/A</v>
      </c>
      <c r="N12" s="354" t="e">
        <f>+(('2.1 LABOR STRUCTURE'!Q23)/('2.1 LABOR STRUCTURE'!P23)-1)*100</f>
        <v>#N/A</v>
      </c>
      <c r="O12" s="354" t="e">
        <f>+(('2.1 LABOR STRUCTURE'!R23)/('2.1 LABOR STRUCTURE'!Q23)-1)*100</f>
        <v>#N/A</v>
      </c>
      <c r="P12" s="354" t="e">
        <f>+(('2.1 LABOR STRUCTURE'!S23)/('2.1 LABOR STRUCTURE'!R23)-1)*100</f>
        <v>#N/A</v>
      </c>
      <c r="Q12" s="354" t="e">
        <f>+(('2.1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'1. GDP'!Z47*ELASTICITY!K12</f>
        <v>-2.5285794155077479</v>
      </c>
      <c r="Y12" s="175">
        <f>'1. GDP'!AA47*ELASTICITY!L12</f>
        <v>1.7123734593391373</v>
      </c>
      <c r="Z12" s="175">
        <f>'1. GDP'!AB47*ELASTICITY!M12</f>
        <v>1.337830637561211</v>
      </c>
      <c r="AA12" s="175">
        <f>'1. GDP'!AC47*ELASTICITY!N12</f>
        <v>0.96000000000000085</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389</v>
      </c>
      <c r="F13" s="354" t="e">
        <f>+(('2.1 LABOR STRUCTURE'!I24)/('2.1 LABOR STRUCTURE'!H24)-1)*100</f>
        <v>#N/A</v>
      </c>
      <c r="G13" s="354" t="e">
        <f>+(('2.1 LABOR STRUCTURE'!J24)/('2.1 LABOR STRUCTURE'!I24)-1)*100</f>
        <v>#N/A</v>
      </c>
      <c r="H13" s="354" t="e">
        <f>+(('2.1 LABOR STRUCTURE'!K24)/('2.1 LABOR STRUCTURE'!J24)-1)*100</f>
        <v>#N/A</v>
      </c>
      <c r="I13" s="354" t="e">
        <f>+(('2.1 LABOR STRUCTURE'!L24)/('2.1 LABOR STRUCTURE'!K24)-1)*100</f>
        <v>#N/A</v>
      </c>
      <c r="J13" s="354" t="e">
        <f>+(('2.1 LABOR STRUCTURE'!M24)/('2.1 LABOR STRUCTURE'!L24)-1)*100</f>
        <v>#N/A</v>
      </c>
      <c r="K13" s="354" t="e">
        <f>+(('2.1 LABOR STRUCTURE'!N24)/('2.1 LABOR STRUCTURE'!M24)-1)*100</f>
        <v>#N/A</v>
      </c>
      <c r="L13" s="354" t="e">
        <f>+(('2.1 LABOR STRUCTURE'!O24)/('2.1 LABOR STRUCTURE'!N24)-1)*100</f>
        <v>#N/A</v>
      </c>
      <c r="M13" s="354" t="e">
        <f>+(('2.1 LABOR STRUCTURE'!P24)/('2.1 LABOR STRUCTURE'!O24)-1)*100</f>
        <v>#N/A</v>
      </c>
      <c r="N13" s="354" t="e">
        <f>+(('2.1 LABOR STRUCTURE'!Q24)/('2.1 LABOR STRUCTURE'!P24)-1)*100</f>
        <v>#N/A</v>
      </c>
      <c r="O13" s="354" t="e">
        <f>+(('2.1 LABOR STRUCTURE'!R24)/('2.1 LABOR STRUCTURE'!Q24)-1)*100</f>
        <v>#N/A</v>
      </c>
      <c r="P13" s="354" t="e">
        <f>+(('2.1 LABOR STRUCTURE'!S24)/('2.1 LABOR STRUCTURE'!R24)-1)*100</f>
        <v>#N/A</v>
      </c>
      <c r="Q13" s="354" t="e">
        <f>+(('2.1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'1. GDP'!Z47*ELASTICITY!K13</f>
        <v>-2.5285794155077479</v>
      </c>
      <c r="Y13" s="175">
        <f>'1. GDP'!AA47*ELASTICITY!L13</f>
        <v>1.5025719225406606</v>
      </c>
      <c r="Z13" s="175">
        <f>'1. GDP'!AB47*ELASTICITY!M13</f>
        <v>1.1739184242495475</v>
      </c>
      <c r="AA13" s="175">
        <f>'1. GDP'!AC47*ELASTICITY!N13</f>
        <v>0.80000000000000071</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616</v>
      </c>
      <c r="F14" s="354" t="e">
        <f>+(('2.1 LABOR STRUCTURE'!I25)/('2.1 LABOR STRUCTURE'!H25)-1)*100</f>
        <v>#N/A</v>
      </c>
      <c r="G14" s="354" t="e">
        <f>+(('2.1 LABOR STRUCTURE'!J25)/('2.1 LABOR STRUCTURE'!I25)-1)*100</f>
        <v>#N/A</v>
      </c>
      <c r="H14" s="354" t="e">
        <f>+(('2.1 LABOR STRUCTURE'!K25)/('2.1 LABOR STRUCTURE'!J25)-1)*100</f>
        <v>#N/A</v>
      </c>
      <c r="I14" s="354" t="e">
        <f>+(('2.1 LABOR STRUCTURE'!L25)/('2.1 LABOR STRUCTURE'!K25)-1)*100</f>
        <v>#N/A</v>
      </c>
      <c r="J14" s="354" t="e">
        <f>+(('2.1 LABOR STRUCTURE'!M25)/('2.1 LABOR STRUCTURE'!L25)-1)*100</f>
        <v>#N/A</v>
      </c>
      <c r="K14" s="354" t="e">
        <f>+(('2.1 LABOR STRUCTURE'!N25)/('2.1 LABOR STRUCTURE'!M25)-1)*100</f>
        <v>#N/A</v>
      </c>
      <c r="L14" s="354" t="e">
        <f>+(('2.1 LABOR STRUCTURE'!O25)/('2.1 LABOR STRUCTURE'!N25)-1)*100</f>
        <v>#N/A</v>
      </c>
      <c r="M14" s="354" t="e">
        <f>+(('2.1 LABOR STRUCTURE'!P25)/('2.1 LABOR STRUCTURE'!O25)-1)*100</f>
        <v>#N/A</v>
      </c>
      <c r="N14" s="354" t="e">
        <f>+(('2.1 LABOR STRUCTURE'!Q25)/('2.1 LABOR STRUCTURE'!P25)-1)*100</f>
        <v>#N/A</v>
      </c>
      <c r="O14" s="354" t="e">
        <f>+(('2.1 LABOR STRUCTURE'!R25)/('2.1 LABOR STRUCTURE'!Q25)-1)*100</f>
        <v>#N/A</v>
      </c>
      <c r="P14" s="354" t="e">
        <f>+(('2.1 LABOR STRUCTURE'!S25)/('2.1 LABOR STRUCTURE'!R25)-1)*100</f>
        <v>#N/A</v>
      </c>
      <c r="Q14" s="354" t="e">
        <f>+(('2.1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'1. GDP'!Z48*ELASTICITY!K14</f>
        <v>0.20943869164433096</v>
      </c>
      <c r="Y14" s="175">
        <f>'1. GDP'!AA48*ELASTICITY!L14</f>
        <v>0.703978911525863</v>
      </c>
      <c r="Z14" s="175">
        <f>'1. GDP'!AB48*ELASTICITY!M14</f>
        <v>2.2745939261390902</v>
      </c>
      <c r="AA14" s="175">
        <f>'1. GDP'!AC48*ELASTICITY!N14</f>
        <v>2.2868479548081999</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617</v>
      </c>
      <c r="F15" s="354" t="e">
        <f>+(('2.1 LABOR STRUCTURE'!I26)/('2.1 LABOR STRUCTURE'!H26)-1)*100</f>
        <v>#N/A</v>
      </c>
      <c r="G15" s="354" t="e">
        <f>+(('2.1 LABOR STRUCTURE'!J26)/('2.1 LABOR STRUCTURE'!I26)-1)*100</f>
        <v>#N/A</v>
      </c>
      <c r="H15" s="354" t="e">
        <f>+(('2.1 LABOR STRUCTURE'!K26)/('2.1 LABOR STRUCTURE'!J26)-1)*100</f>
        <v>#N/A</v>
      </c>
      <c r="I15" s="354" t="e">
        <f>+(('2.1 LABOR STRUCTURE'!L26)/('2.1 LABOR STRUCTURE'!K26)-1)*100</f>
        <v>#N/A</v>
      </c>
      <c r="J15" s="354" t="e">
        <f>+(('2.1 LABOR STRUCTURE'!M26)/('2.1 LABOR STRUCTURE'!L26)-1)*100</f>
        <v>#N/A</v>
      </c>
      <c r="K15" s="354" t="e">
        <f>+(('2.1 LABOR STRUCTURE'!N26)/('2.1 LABOR STRUCTURE'!M26)-1)*100</f>
        <v>#N/A</v>
      </c>
      <c r="L15" s="354" t="e">
        <f>+(('2.1 LABOR STRUCTURE'!O26)/('2.1 LABOR STRUCTURE'!N26)-1)*100</f>
        <v>#N/A</v>
      </c>
      <c r="M15" s="354" t="e">
        <f>+(('2.1 LABOR STRUCTURE'!P26)/('2.1 LABOR STRUCTURE'!O26)-1)*100</f>
        <v>#N/A</v>
      </c>
      <c r="N15" s="354" t="e">
        <f>+(('2.1 LABOR STRUCTURE'!Q26)/('2.1 LABOR STRUCTURE'!P26)-1)*100</f>
        <v>#N/A</v>
      </c>
      <c r="O15" s="354" t="e">
        <f>+(('2.1 LABOR STRUCTURE'!R26)/('2.1 LABOR STRUCTURE'!Q26)-1)*100</f>
        <v>#N/A</v>
      </c>
      <c r="P15" s="354" t="e">
        <f>+(('2.1 LABOR STRUCTURE'!S26)/('2.1 LABOR STRUCTURE'!R26)-1)*100</f>
        <v>#N/A</v>
      </c>
      <c r="Q15" s="354" t="e">
        <f>+(('2.1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'1. GDP'!Z48*ELASTICITY!K15</f>
        <v>2.7925158885910895</v>
      </c>
      <c r="Y15" s="175">
        <f>'1. GDP'!AA48*ELASTICITY!L15</f>
        <v>1.0158944887785499</v>
      </c>
      <c r="Z15" s="175">
        <f>'1. GDP'!AB48*ELASTICITY!M15</f>
        <v>3.2824100210123701</v>
      </c>
      <c r="AA15" s="175">
        <f>'1. GDP'!AC48*ELASTICITY!N15</f>
        <v>2.2868479548081999</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618</v>
      </c>
      <c r="F16" s="354" t="e">
        <f>+(('2.1 LABOR STRUCTURE'!I27)/('2.1 LABOR STRUCTURE'!H27)-1)*100</f>
        <v>#N/A</v>
      </c>
      <c r="G16" s="354" t="e">
        <f>+(('2.1 LABOR STRUCTURE'!J27)/('2.1 LABOR STRUCTURE'!I27)-1)*100</f>
        <v>#N/A</v>
      </c>
      <c r="H16" s="354" t="e">
        <f>+(('2.1 LABOR STRUCTURE'!K27)/('2.1 LABOR STRUCTURE'!J27)-1)*100</f>
        <v>#N/A</v>
      </c>
      <c r="I16" s="354" t="e">
        <f>+(('2.1 LABOR STRUCTURE'!L27)/('2.1 LABOR STRUCTURE'!K27)-1)*100</f>
        <v>#N/A</v>
      </c>
      <c r="J16" s="354" t="e">
        <f>+(('2.1 LABOR STRUCTURE'!M27)/('2.1 LABOR STRUCTURE'!L27)-1)*100</f>
        <v>#N/A</v>
      </c>
      <c r="K16" s="354" t="e">
        <f>+(('2.1 LABOR STRUCTURE'!N27)/('2.1 LABOR STRUCTURE'!M27)-1)*100</f>
        <v>#N/A</v>
      </c>
      <c r="L16" s="354" t="e">
        <f>+(('2.1 LABOR STRUCTURE'!O27)/('2.1 LABOR STRUCTURE'!N27)-1)*100</f>
        <v>#N/A</v>
      </c>
      <c r="M16" s="354" t="e">
        <f>+(('2.1 LABOR STRUCTURE'!P27)/('2.1 LABOR STRUCTURE'!O27)-1)*100</f>
        <v>#N/A</v>
      </c>
      <c r="N16" s="354" t="e">
        <f>+(('2.1 LABOR STRUCTURE'!Q27)/('2.1 LABOR STRUCTURE'!P27)-1)*100</f>
        <v>#N/A</v>
      </c>
      <c r="O16" s="354" t="e">
        <f>+(('2.1 LABOR STRUCTURE'!R27)/('2.1 LABOR STRUCTURE'!Q27)-1)*100</f>
        <v>#N/A</v>
      </c>
      <c r="P16" s="354" t="e">
        <f>+(('2.1 LABOR STRUCTURE'!S27)/('2.1 LABOR STRUCTURE'!R27)-1)*100</f>
        <v>#N/A</v>
      </c>
      <c r="Q16" s="354" t="e">
        <f>+(('2.1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'1. GDP'!Z51*ELASTICITY!K16</f>
        <v>2.47807069372849</v>
      </c>
      <c r="Y16" s="175">
        <f>'1. GDP'!AA51*ELASTICITY!L16</f>
        <v>2.6264455997445202</v>
      </c>
      <c r="Z16" s="175">
        <f>'1. GDP'!AB51*ELASTICITY!M16</f>
        <v>1.8000212152136601</v>
      </c>
      <c r="AA16" s="175">
        <f>'1. GDP'!AC51*ELASTICITY!N16</f>
        <v>0.90703648471827703</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619</v>
      </c>
      <c r="F17" s="354" t="e">
        <f>+(('2.1 LABOR STRUCTURE'!I28)/('2.1 LABOR STRUCTURE'!H28)-1)*100</f>
        <v>#N/A</v>
      </c>
      <c r="G17" s="354" t="e">
        <f>+(('2.1 LABOR STRUCTURE'!J28)/('2.1 LABOR STRUCTURE'!I28)-1)*100</f>
        <v>#N/A</v>
      </c>
      <c r="H17" s="354" t="e">
        <f>+(('2.1 LABOR STRUCTURE'!K28)/('2.1 LABOR STRUCTURE'!J28)-1)*100</f>
        <v>#N/A</v>
      </c>
      <c r="I17" s="354" t="e">
        <f>+(('2.1 LABOR STRUCTURE'!L28)/('2.1 LABOR STRUCTURE'!K28)-1)*100</f>
        <v>#N/A</v>
      </c>
      <c r="J17" s="354" t="e">
        <f>+(('2.1 LABOR STRUCTURE'!M28)/('2.1 LABOR STRUCTURE'!L28)-1)*100</f>
        <v>#N/A</v>
      </c>
      <c r="K17" s="354" t="e">
        <f>+(('2.1 LABOR STRUCTURE'!N28)/('2.1 LABOR STRUCTURE'!M28)-1)*100</f>
        <v>#N/A</v>
      </c>
      <c r="L17" s="354" t="e">
        <f>+(('2.1 LABOR STRUCTURE'!O28)/('2.1 LABOR STRUCTURE'!N28)-1)*100</f>
        <v>#N/A</v>
      </c>
      <c r="M17" s="354" t="e">
        <f>+(('2.1 LABOR STRUCTURE'!P28)/('2.1 LABOR STRUCTURE'!O28)-1)*100</f>
        <v>#N/A</v>
      </c>
      <c r="N17" s="354" t="e">
        <f>+(('2.1 LABOR STRUCTURE'!Q28)/('2.1 LABOR STRUCTURE'!P28)-1)*100</f>
        <v>#N/A</v>
      </c>
      <c r="O17" s="354" t="e">
        <f>+(('2.1 LABOR STRUCTURE'!R28)/('2.1 LABOR STRUCTURE'!Q28)-1)*100</f>
        <v>#N/A</v>
      </c>
      <c r="P17" s="354" t="e">
        <f>+(('2.1 LABOR STRUCTURE'!S28)/('2.1 LABOR STRUCTURE'!R28)-1)*100</f>
        <v>#N/A</v>
      </c>
      <c r="Q17" s="354" t="e">
        <f>+(('2.1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'1. GDP'!Z51*ELASTICITY!K17</f>
        <v>1.1505328220882303</v>
      </c>
      <c r="Y17" s="175">
        <f>'1. GDP'!AA51*ELASTICITY!L17</f>
        <v>2.4840825684808898</v>
      </c>
      <c r="Z17" s="175">
        <f>'1. GDP'!AB51*ELASTICITY!M17</f>
        <v>1.7024534313762301</v>
      </c>
      <c r="AA17" s="175">
        <f>'1. GDP'!AC51*ELASTICITY!N17</f>
        <v>0.78609828675584004</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c r="F18" s="354"/>
      <c r="G18" s="354"/>
      <c r="H18" s="354"/>
      <c r="I18" s="354"/>
      <c r="J18" s="354"/>
      <c r="K18" s="354"/>
      <c r="L18" s="354"/>
      <c r="M18" s="354"/>
      <c r="N18" s="354"/>
      <c r="O18" s="354"/>
      <c r="P18" s="354"/>
      <c r="Q18" s="354"/>
      <c r="R18" s="354"/>
      <c r="S18" s="354"/>
      <c r="T18" s="354"/>
      <c r="U18" s="354"/>
      <c r="V18" s="354"/>
      <c r="W18" s="354"/>
      <c r="X18" s="354"/>
      <c r="Y18" s="175"/>
      <c r="Z18" s="175"/>
      <c r="AA18" s="175"/>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c r="F19" s="354"/>
      <c r="G19" s="354"/>
      <c r="H19" s="354"/>
      <c r="I19" s="354"/>
      <c r="J19" s="354"/>
      <c r="K19" s="354"/>
      <c r="L19" s="354"/>
      <c r="M19" s="354"/>
      <c r="N19" s="354"/>
      <c r="O19" s="354"/>
      <c r="P19" s="354"/>
      <c r="Q19" s="354"/>
      <c r="R19" s="354"/>
      <c r="S19" s="354"/>
      <c r="T19" s="354"/>
      <c r="U19" s="354"/>
      <c r="V19" s="354"/>
      <c r="W19" s="354"/>
      <c r="X19" s="354"/>
      <c r="Y19" s="175"/>
      <c r="Z19" s="175"/>
      <c r="AA19" s="175"/>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c r="F20" s="354"/>
      <c r="G20" s="354"/>
      <c r="H20" s="354"/>
      <c r="I20" s="354"/>
      <c r="J20" s="354"/>
      <c r="K20" s="354"/>
      <c r="L20" s="354"/>
      <c r="M20" s="354"/>
      <c r="N20" s="354"/>
      <c r="O20" s="354"/>
      <c r="P20" s="354"/>
      <c r="Q20" s="354"/>
      <c r="R20" s="354"/>
      <c r="S20" s="354"/>
      <c r="T20" s="354"/>
      <c r="U20" s="354"/>
      <c r="V20" s="354"/>
      <c r="W20" s="354"/>
      <c r="X20" s="354"/>
      <c r="Y20" s="175"/>
      <c r="Z20" s="175"/>
      <c r="AA20" s="175"/>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c r="F21" s="354"/>
      <c r="G21" s="354"/>
      <c r="H21" s="354"/>
      <c r="I21" s="354"/>
      <c r="J21" s="354"/>
      <c r="K21" s="354"/>
      <c r="L21" s="354"/>
      <c r="M21" s="354"/>
      <c r="N21" s="354"/>
      <c r="O21" s="354"/>
      <c r="P21" s="354"/>
      <c r="Q21" s="354"/>
      <c r="R21" s="354"/>
      <c r="S21" s="354"/>
      <c r="T21" s="354"/>
      <c r="U21" s="354"/>
      <c r="V21" s="354"/>
      <c r="W21" s="354"/>
      <c r="X21" s="354"/>
      <c r="Y21" s="175"/>
      <c r="Z21" s="175"/>
      <c r="AA21" s="175"/>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c r="F22" s="354"/>
      <c r="G22" s="354"/>
      <c r="H22" s="354"/>
      <c r="I22" s="354"/>
      <c r="J22" s="354"/>
      <c r="K22" s="354"/>
      <c r="L22" s="354"/>
      <c r="M22" s="354"/>
      <c r="N22" s="354"/>
      <c r="O22" s="354"/>
      <c r="P22" s="354"/>
      <c r="Q22" s="354"/>
      <c r="R22" s="354"/>
      <c r="S22" s="354"/>
      <c r="T22" s="354"/>
      <c r="U22" s="354"/>
      <c r="V22" s="354"/>
      <c r="W22" s="354"/>
      <c r="X22" s="354"/>
      <c r="Y22" s="175"/>
      <c r="Z22" s="175"/>
      <c r="AA22" s="175"/>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c r="F23" s="358"/>
      <c r="G23" s="358"/>
      <c r="H23" s="358"/>
      <c r="I23" s="358"/>
      <c r="J23" s="358"/>
      <c r="K23" s="358"/>
      <c r="L23" s="358"/>
      <c r="M23" s="358"/>
      <c r="N23" s="358"/>
      <c r="O23" s="358"/>
      <c r="P23" s="358"/>
      <c r="Q23" s="358"/>
      <c r="R23" s="358"/>
      <c r="S23" s="358"/>
      <c r="T23" s="358"/>
      <c r="U23" s="358"/>
      <c r="V23" s="358"/>
      <c r="W23" s="358"/>
      <c r="X23" s="358"/>
      <c r="Y23" s="176"/>
      <c r="Z23" s="176"/>
      <c r="AA23" s="176"/>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71" t="s">
        <v>504</v>
      </c>
      <c r="F28" s="571"/>
      <c r="G28" s="571"/>
      <c r="H28" s="571"/>
      <c r="I28" s="571"/>
      <c r="J28" s="571"/>
      <c r="K28" s="571"/>
      <c r="L28" s="571"/>
      <c r="M28" s="571"/>
      <c r="N28" s="571"/>
      <c r="O28" s="571"/>
      <c r="P28" s="571"/>
      <c r="Q28" s="571"/>
      <c r="R28" s="571"/>
      <c r="S28" s="571"/>
      <c r="T28" s="571"/>
      <c r="U28" s="571"/>
      <c r="V28" s="571"/>
      <c r="W28" s="571"/>
      <c r="X28" s="571"/>
      <c r="Y28" s="571"/>
      <c r="Z28" s="571"/>
      <c r="AA28" s="571"/>
      <c r="AB28" s="571"/>
      <c r="AC28" s="571"/>
      <c r="AD28" s="571"/>
      <c r="AE28" s="571"/>
      <c r="AF28" s="571"/>
      <c r="AG28" s="571"/>
      <c r="AH28" s="571"/>
      <c r="AI28" s="571"/>
      <c r="AJ28" s="571"/>
      <c r="AK28" s="571"/>
      <c r="AL28" s="571"/>
      <c r="AM28" s="571"/>
      <c r="AN28" s="571"/>
      <c r="AO28" s="571"/>
      <c r="AP28" s="571"/>
      <c r="AQ28" s="571"/>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69" t="s">
        <v>130</v>
      </c>
      <c r="F30" s="169"/>
      <c r="G30" s="169"/>
      <c r="H30" s="169"/>
      <c r="I30" s="169"/>
      <c r="J30" s="169"/>
      <c r="K30" s="169"/>
      <c r="L30" s="169"/>
      <c r="M30" s="169"/>
      <c r="N30" s="169"/>
      <c r="O30" s="169"/>
      <c r="P30" s="169"/>
      <c r="Q30" s="169"/>
      <c r="R30" s="169"/>
      <c r="S30" s="169"/>
      <c r="T30" s="169"/>
      <c r="U30" s="169"/>
      <c r="V30" s="169"/>
      <c r="W30" s="169"/>
      <c r="X30" s="169"/>
      <c r="Y30" s="573" t="s">
        <v>7</v>
      </c>
      <c r="Z30" s="573"/>
      <c r="AA30" s="573"/>
      <c r="AB30" s="165"/>
      <c r="AC30" s="165"/>
      <c r="AD30" s="165"/>
      <c r="AE30" s="165"/>
      <c r="AF30" s="165"/>
      <c r="AG30" s="165"/>
      <c r="AH30" s="165"/>
      <c r="AI30" s="165"/>
      <c r="AJ30" s="165"/>
      <c r="AK30" s="165"/>
      <c r="AL30" s="165"/>
      <c r="AM30" s="165"/>
      <c r="AN30" s="165"/>
      <c r="AO30" s="165"/>
      <c r="AP30" s="165"/>
      <c r="AQ30" s="165"/>
      <c r="AR30" s="165"/>
    </row>
    <row r="31" spans="2:44" x14ac:dyDescent="0.2">
      <c r="B31" s="539" t="s">
        <v>198</v>
      </c>
      <c r="C31" s="572"/>
      <c r="E31" s="569"/>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39"/>
      <c r="C32" s="572"/>
      <c r="E32" s="356" t="s">
        <v>390</v>
      </c>
      <c r="F32" s="354" t="e">
        <f>('2.2 LABOR INCOME &amp; PRODUCTIVITY'!I21/'2.2 LABOR INCOME &amp; PRODUCTIVITY'!H21-1)*100</f>
        <v>#N/A</v>
      </c>
      <c r="G32" s="354" t="e">
        <f>('2.2 LABOR INCOME &amp; PRODUCTIVITY'!J21/'2.2 LABOR INCOME &amp; PRODUCTIVITY'!I21-1)*100</f>
        <v>#N/A</v>
      </c>
      <c r="H32" s="354" t="e">
        <f>('2.2 LABOR INCOME &amp; PRODUCTIVITY'!K21/'2.2 LABOR INCOME &amp; PRODUCTIVITY'!J21-1)*100</f>
        <v>#N/A</v>
      </c>
      <c r="I32" s="354" t="e">
        <f>('2.2 LABOR INCOME &amp; PRODUCTIVITY'!L21/'2.2 LABOR INCOME &amp; PRODUCTIVITY'!K21-1)*100</f>
        <v>#N/A</v>
      </c>
      <c r="J32" s="354" t="e">
        <f>('2.2 LABOR INCOME &amp; PRODUCTIVITY'!M21/'2.2 LABOR INCOME &amp; PRODUCTIVITY'!L21-1)*100</f>
        <v>#N/A</v>
      </c>
      <c r="K32" s="354" t="e">
        <f>('2.2 LABOR INCOME &amp; PRODUCTIVITY'!N21/'2.2 LABOR INCOME &amp; PRODUCTIVITY'!M21-1)*100</f>
        <v>#N/A</v>
      </c>
      <c r="L32" s="354" t="e">
        <f>('2.2 LABOR INCOME &amp; PRODUCTIVITY'!O21/'2.2 LABOR INCOME &amp; PRODUCTIVITY'!N21-1)*100</f>
        <v>#N/A</v>
      </c>
      <c r="M32" s="354" t="e">
        <f>('2.2 LABOR INCOME &amp; PRODUCTIVITY'!P21/'2.2 LABOR INCOME &amp; PRODUCTIVITY'!O21-1)*100</f>
        <v>#N/A</v>
      </c>
      <c r="N32" s="354" t="e">
        <f>('2.2 LABOR INCOME &amp; PRODUCTIVITY'!Q21/'2.2 LABOR INCOME &amp; PRODUCTIVITY'!P21-1)*100</f>
        <v>#N/A</v>
      </c>
      <c r="O32" s="354" t="e">
        <f>('2.2 LABOR INCOME &amp; PRODUCTIVITY'!R21/'2.2 LABOR INCOME &amp; PRODUCTIVITY'!Q21-1)*100</f>
        <v>#N/A</v>
      </c>
      <c r="P32" s="354" t="e">
        <f>('2.2 LABOR INCOME &amp; PRODUCTIVITY'!S21/'2.2 LABOR INCOME &amp; PRODUCTIVITY'!R21-1)*100</f>
        <v>#N/A</v>
      </c>
      <c r="Q32" s="354" t="e">
        <f>('2.2 LABOR INCOME &amp; PRODUCTIVITY'!T21/'2.2 LABOR INCOME &amp; PRODUCTIVITY'!S21-1)*100</f>
        <v>#N/A</v>
      </c>
      <c r="R32" s="354" t="e">
        <f>('2.2 LABOR INCOME &amp; PRODUCTIVITY'!U21/'2.2 LABOR INCOME &amp; PRODUCTIVITY'!T21-1)*100</f>
        <v>#N/A</v>
      </c>
      <c r="S32" s="354" t="e">
        <f>('2.2 LABOR INCOME &amp; PRODUCTIVITY'!V21/'2.2 LABOR INCOME &amp; PRODUCTIVITY'!U21-1)*100</f>
        <v>#N/A</v>
      </c>
      <c r="T32" s="354" t="e">
        <f>('2.2 LABOR INCOME &amp; PRODUCTIVITY'!W21/'2.2 LABOR INCOME &amp; PRODUCTIVITY'!V21-1)*100</f>
        <v>#N/A</v>
      </c>
      <c r="U32" s="354" t="e">
        <f>('2.2 LABOR INCOME &amp; PRODUCTIVITY'!X21/'2.2 LABOR INCOME &amp; PRODUCTIVITY'!W21-1)*100</f>
        <v>#N/A</v>
      </c>
      <c r="V32" s="354" t="e">
        <f>('2.2 LABOR INCOME &amp; PRODUCTIVITY'!Y21/'2.2 LABOR INCOME &amp; PRODUCTIVITY'!X21-1)*100</f>
        <v>#N/A</v>
      </c>
      <c r="W32" s="354" t="e">
        <f>('2.2 LABOR INCOME &amp; PRODUCTIVITY'!Z21/'2.2 LABOR INCOME &amp; PRODUCTIVITY'!Y21-1)*100</f>
        <v>#N/A</v>
      </c>
      <c r="X32" s="354">
        <f>'2.2 LABOR INCOME &amp; PRODUCTIVITY'!AA10*ELASTICITY!K31</f>
        <v>-7.142629038286179</v>
      </c>
      <c r="Y32" s="175">
        <f>'2.2 LABOR INCOME &amp; PRODUCTIVITY'!AB10*ELASTICITY!L31</f>
        <v>-1.3904175119430546</v>
      </c>
      <c r="Z32" s="175">
        <f>'2.2 LABOR INCOME &amp; PRODUCTIVITY'!AC10*ELASTICITY!M31</f>
        <v>0.18803783251452932</v>
      </c>
      <c r="AA32" s="175">
        <f>'2.2 LABOR INCOME &amp; PRODUCTIVITY'!AD10*ELASTICITY!N31</f>
        <v>1.8863448351266499</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389</v>
      </c>
      <c r="F33" s="354" t="e">
        <f>('2.2 LABOR INCOME &amp; PRODUCTIVITY'!I22/'2.2 LABOR INCOME &amp; PRODUCTIVITY'!H22-1)*100</f>
        <v>#N/A</v>
      </c>
      <c r="G33" s="354" t="e">
        <f>('2.2 LABOR INCOME &amp; PRODUCTIVITY'!J22/'2.2 LABOR INCOME &amp; PRODUCTIVITY'!I22-1)*100</f>
        <v>#N/A</v>
      </c>
      <c r="H33" s="354" t="e">
        <f>('2.2 LABOR INCOME &amp; PRODUCTIVITY'!K22/'2.2 LABOR INCOME &amp; PRODUCTIVITY'!J22-1)*100</f>
        <v>#N/A</v>
      </c>
      <c r="I33" s="354" t="e">
        <f>('2.2 LABOR INCOME &amp; PRODUCTIVITY'!L22/'2.2 LABOR INCOME &amp; PRODUCTIVITY'!K22-1)*100</f>
        <v>#N/A</v>
      </c>
      <c r="J33" s="354" t="e">
        <f>('2.2 LABOR INCOME &amp; PRODUCTIVITY'!M22/'2.2 LABOR INCOME &amp; PRODUCTIVITY'!L22-1)*100</f>
        <v>#N/A</v>
      </c>
      <c r="K33" s="354" t="e">
        <f>('2.2 LABOR INCOME &amp; PRODUCTIVITY'!N22/'2.2 LABOR INCOME &amp; PRODUCTIVITY'!M22-1)*100</f>
        <v>#N/A</v>
      </c>
      <c r="L33" s="354" t="e">
        <f>('2.2 LABOR INCOME &amp; PRODUCTIVITY'!O22/'2.2 LABOR INCOME &amp; PRODUCTIVITY'!N22-1)*100</f>
        <v>#N/A</v>
      </c>
      <c r="M33" s="354" t="e">
        <f>('2.2 LABOR INCOME &amp; PRODUCTIVITY'!P22/'2.2 LABOR INCOME &amp; PRODUCTIVITY'!O22-1)*100</f>
        <v>#N/A</v>
      </c>
      <c r="N33" s="354" t="e">
        <f>('2.2 LABOR INCOME &amp; PRODUCTIVITY'!Q22/'2.2 LABOR INCOME &amp; PRODUCTIVITY'!P22-1)*100</f>
        <v>#N/A</v>
      </c>
      <c r="O33" s="354" t="e">
        <f>('2.2 LABOR INCOME &amp; PRODUCTIVITY'!R22/'2.2 LABOR INCOME &amp; PRODUCTIVITY'!Q22-1)*100</f>
        <v>#N/A</v>
      </c>
      <c r="P33" s="354" t="e">
        <f>('2.2 LABOR INCOME &amp; PRODUCTIVITY'!S22/'2.2 LABOR INCOME &amp; PRODUCTIVITY'!R22-1)*100</f>
        <v>#N/A</v>
      </c>
      <c r="Q33" s="354" t="e">
        <f>('2.2 LABOR INCOME &amp; PRODUCTIVITY'!T22/'2.2 LABOR INCOME &amp; PRODUCTIVITY'!S22-1)*100</f>
        <v>#N/A</v>
      </c>
      <c r="R33" s="354" t="e">
        <f>('2.2 LABOR INCOME &amp; PRODUCTIVITY'!U22/'2.2 LABOR INCOME &amp; PRODUCTIVITY'!T22-1)*100</f>
        <v>#N/A</v>
      </c>
      <c r="S33" s="354" t="e">
        <f>('2.2 LABOR INCOME &amp; PRODUCTIVITY'!V22/'2.2 LABOR INCOME &amp; PRODUCTIVITY'!U22-1)*100</f>
        <v>#N/A</v>
      </c>
      <c r="T33" s="354" t="e">
        <f>('2.2 LABOR INCOME &amp; PRODUCTIVITY'!W22/'2.2 LABOR INCOME &amp; PRODUCTIVITY'!V22-1)*100</f>
        <v>#N/A</v>
      </c>
      <c r="U33" s="354" t="e">
        <f>('2.2 LABOR INCOME &amp; PRODUCTIVITY'!X22/'2.2 LABOR INCOME &amp; PRODUCTIVITY'!W22-1)*100</f>
        <v>#N/A</v>
      </c>
      <c r="V33" s="354" t="e">
        <f>('2.2 LABOR INCOME &amp; PRODUCTIVITY'!Y22/'2.2 LABOR INCOME &amp; PRODUCTIVITY'!X22-1)*100</f>
        <v>#N/A</v>
      </c>
      <c r="W33" s="354" t="e">
        <f>('2.2 LABOR INCOME &amp; PRODUCTIVITY'!Z22/'2.2 LABOR INCOME &amp; PRODUCTIVITY'!Y22-1)*100</f>
        <v>#N/A</v>
      </c>
      <c r="X33" s="354">
        <f>'2.2 LABOR INCOME &amp; PRODUCTIVITY'!AA10*ELASTICITY!K32</f>
        <v>1.8159226368524184</v>
      </c>
      <c r="Y33" s="175">
        <f>'2.2 LABOR INCOME &amp; PRODUCTIVITY'!AB10*ELASTICITY!L32</f>
        <v>0.46324053803979526</v>
      </c>
      <c r="Z33" s="175">
        <f>'2.2 LABOR INCOME &amp; PRODUCTIVITY'!AC10*ELASTICITY!M32</f>
        <v>0.56411349754358797</v>
      </c>
      <c r="AA33" s="175">
        <f>'2.2 LABOR INCOME &amp; PRODUCTIVITY'!AD10*ELASTICITY!N32</f>
        <v>0.7073793131724937</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616</v>
      </c>
      <c r="F34" s="354" t="e">
        <f>('2.2 LABOR INCOME &amp; PRODUCTIVITY'!I25/'2.2 LABOR INCOME &amp; PRODUCTIVITY'!H25-1)*100</f>
        <v>#N/A</v>
      </c>
      <c r="G34" s="354" t="e">
        <f>('2.2 LABOR INCOME &amp; PRODUCTIVITY'!J25/'2.2 LABOR INCOME &amp; PRODUCTIVITY'!I25-1)*100</f>
        <v>#N/A</v>
      </c>
      <c r="H34" s="354" t="e">
        <f>('2.2 LABOR INCOME &amp; PRODUCTIVITY'!K25/'2.2 LABOR INCOME &amp; PRODUCTIVITY'!J25-1)*100</f>
        <v>#N/A</v>
      </c>
      <c r="I34" s="354" t="e">
        <f>('2.2 LABOR INCOME &amp; PRODUCTIVITY'!L25/'2.2 LABOR INCOME &amp; PRODUCTIVITY'!K25-1)*100</f>
        <v>#N/A</v>
      </c>
      <c r="J34" s="354" t="e">
        <f>('2.2 LABOR INCOME &amp; PRODUCTIVITY'!M25/'2.2 LABOR INCOME &amp; PRODUCTIVITY'!L25-1)*100</f>
        <v>#N/A</v>
      </c>
      <c r="K34" s="354" t="e">
        <f>('2.2 LABOR INCOME &amp; PRODUCTIVITY'!N25/'2.2 LABOR INCOME &amp; PRODUCTIVITY'!M25-1)*100</f>
        <v>#N/A</v>
      </c>
      <c r="L34" s="354" t="e">
        <f>('2.2 LABOR INCOME &amp; PRODUCTIVITY'!O25/'2.2 LABOR INCOME &amp; PRODUCTIVITY'!N25-1)*100</f>
        <v>#N/A</v>
      </c>
      <c r="M34" s="354" t="e">
        <f>('2.2 LABOR INCOME &amp; PRODUCTIVITY'!P25/'2.2 LABOR INCOME &amp; PRODUCTIVITY'!O25-1)*100</f>
        <v>#N/A</v>
      </c>
      <c r="N34" s="354" t="e">
        <f>('2.2 LABOR INCOME &amp; PRODUCTIVITY'!Q25/'2.2 LABOR INCOME &amp; PRODUCTIVITY'!P25-1)*100</f>
        <v>#N/A</v>
      </c>
      <c r="O34" s="354" t="e">
        <f>('2.2 LABOR INCOME &amp; PRODUCTIVITY'!R25/'2.2 LABOR INCOME &amp; PRODUCTIVITY'!Q25-1)*100</f>
        <v>#N/A</v>
      </c>
      <c r="P34" s="354" t="e">
        <f>('2.2 LABOR INCOME &amp; PRODUCTIVITY'!S25/'2.2 LABOR INCOME &amp; PRODUCTIVITY'!R25-1)*100</f>
        <v>#N/A</v>
      </c>
      <c r="Q34" s="354" t="e">
        <f>('2.2 LABOR INCOME &amp; PRODUCTIVITY'!T25/'2.2 LABOR INCOME &amp; PRODUCTIVITY'!S25-1)*100</f>
        <v>#N/A</v>
      </c>
      <c r="R34" s="354" t="e">
        <f>('2.2 LABOR INCOME &amp; PRODUCTIVITY'!U25/'2.2 LABOR INCOME &amp; PRODUCTIVITY'!T25-1)*100</f>
        <v>#N/A</v>
      </c>
      <c r="S34" s="354" t="e">
        <f>('2.2 LABOR INCOME &amp; PRODUCTIVITY'!V25/'2.2 LABOR INCOME &amp; PRODUCTIVITY'!U25-1)*100</f>
        <v>#N/A</v>
      </c>
      <c r="T34" s="354" t="e">
        <f>('2.2 LABOR INCOME &amp; PRODUCTIVITY'!W25/'2.2 LABOR INCOME &amp; PRODUCTIVITY'!V25-1)*100</f>
        <v>#N/A</v>
      </c>
      <c r="U34" s="354" t="e">
        <f>('2.2 LABOR INCOME &amp; PRODUCTIVITY'!X25/'2.2 LABOR INCOME &amp; PRODUCTIVITY'!W25-1)*100</f>
        <v>#N/A</v>
      </c>
      <c r="V34" s="354" t="e">
        <f>('2.2 LABOR INCOME &amp; PRODUCTIVITY'!Y25/'2.2 LABOR INCOME &amp; PRODUCTIVITY'!X25-1)*100</f>
        <v>#N/A</v>
      </c>
      <c r="W34" s="354" t="e">
        <f>('2.2 LABOR INCOME &amp; PRODUCTIVITY'!Z23/'2.2 LABOR INCOME &amp; PRODUCTIVITY'!Y23-1)*100</f>
        <v>#N/A</v>
      </c>
      <c r="X34" s="354">
        <f>'2.2 LABOR INCOME &amp; PRODUCTIVITY'!AA11*ELASTICITY!K33</f>
        <v>-4.6192151642489181</v>
      </c>
      <c r="Y34" s="175">
        <f>'2.2 LABOR INCOME &amp; PRODUCTIVITY'!AB11*ELASTICITY!L33</f>
        <v>-2.3015620399731027</v>
      </c>
      <c r="Z34" s="175">
        <f>'2.2 LABOR INCOME &amp; PRODUCTIVITY'!AC11*ELASTICITY!M33</f>
        <v>0.44234474925024081</v>
      </c>
      <c r="AA34" s="175">
        <f>'2.2 LABOR INCOME &amp; PRODUCTIVITY'!AD11*ELASTICITY!N33</f>
        <v>1.3236751748922093</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617</v>
      </c>
      <c r="F35" s="354" t="e">
        <f>('2.2 LABOR INCOME &amp; PRODUCTIVITY'!I26/'2.2 LABOR INCOME &amp; PRODUCTIVITY'!H26-1)*100</f>
        <v>#N/A</v>
      </c>
      <c r="G35" s="354" t="e">
        <f>('2.2 LABOR INCOME &amp; PRODUCTIVITY'!J26/'2.2 LABOR INCOME &amp; PRODUCTIVITY'!I26-1)*100</f>
        <v>#N/A</v>
      </c>
      <c r="H35" s="354" t="e">
        <f>('2.2 LABOR INCOME &amp; PRODUCTIVITY'!K26/'2.2 LABOR INCOME &amp; PRODUCTIVITY'!J26-1)*100</f>
        <v>#N/A</v>
      </c>
      <c r="I35" s="354" t="e">
        <f>('2.2 LABOR INCOME &amp; PRODUCTIVITY'!L26/'2.2 LABOR INCOME &amp; PRODUCTIVITY'!K26-1)*100</f>
        <v>#N/A</v>
      </c>
      <c r="J35" s="354" t="e">
        <f>('2.2 LABOR INCOME &amp; PRODUCTIVITY'!M26/'2.2 LABOR INCOME &amp; PRODUCTIVITY'!L26-1)*100</f>
        <v>#N/A</v>
      </c>
      <c r="K35" s="354" t="e">
        <f>('2.2 LABOR INCOME &amp; PRODUCTIVITY'!N26/'2.2 LABOR INCOME &amp; PRODUCTIVITY'!M26-1)*100</f>
        <v>#N/A</v>
      </c>
      <c r="L35" s="354" t="e">
        <f>('2.2 LABOR INCOME &amp; PRODUCTIVITY'!O26/'2.2 LABOR INCOME &amp; PRODUCTIVITY'!N26-1)*100</f>
        <v>#N/A</v>
      </c>
      <c r="M35" s="354" t="e">
        <f>('2.2 LABOR INCOME &amp; PRODUCTIVITY'!P26/'2.2 LABOR INCOME &amp; PRODUCTIVITY'!O26-1)*100</f>
        <v>#N/A</v>
      </c>
      <c r="N35" s="354" t="e">
        <f>('2.2 LABOR INCOME &amp; PRODUCTIVITY'!Q26/'2.2 LABOR INCOME &amp; PRODUCTIVITY'!P26-1)*100</f>
        <v>#N/A</v>
      </c>
      <c r="O35" s="354" t="e">
        <f>('2.2 LABOR INCOME &amp; PRODUCTIVITY'!R26/'2.2 LABOR INCOME &amp; PRODUCTIVITY'!Q26-1)*100</f>
        <v>#N/A</v>
      </c>
      <c r="P35" s="354" t="e">
        <f>('2.2 LABOR INCOME &amp; PRODUCTIVITY'!S26/'2.2 LABOR INCOME &amp; PRODUCTIVITY'!R26-1)*100</f>
        <v>#N/A</v>
      </c>
      <c r="Q35" s="354" t="e">
        <f>('2.2 LABOR INCOME &amp; PRODUCTIVITY'!T26/'2.2 LABOR INCOME &amp; PRODUCTIVITY'!S26-1)*100</f>
        <v>#N/A</v>
      </c>
      <c r="R35" s="354" t="e">
        <f>('2.2 LABOR INCOME &amp; PRODUCTIVITY'!U26/'2.2 LABOR INCOME &amp; PRODUCTIVITY'!T26-1)*100</f>
        <v>#N/A</v>
      </c>
      <c r="S35" s="354" t="e">
        <f>('2.2 LABOR INCOME &amp; PRODUCTIVITY'!V26/'2.2 LABOR INCOME &amp; PRODUCTIVITY'!U26-1)*100</f>
        <v>#N/A</v>
      </c>
      <c r="T35" s="354" t="e">
        <f>('2.2 LABOR INCOME &amp; PRODUCTIVITY'!W26/'2.2 LABOR INCOME &amp; PRODUCTIVITY'!V26-1)*100</f>
        <v>#N/A</v>
      </c>
      <c r="U35" s="354" t="e">
        <f>('2.2 LABOR INCOME &amp; PRODUCTIVITY'!X26/'2.2 LABOR INCOME &amp; PRODUCTIVITY'!W26-1)*100</f>
        <v>#N/A</v>
      </c>
      <c r="V35" s="354" t="e">
        <f>('2.2 LABOR INCOME &amp; PRODUCTIVITY'!Y26/'2.2 LABOR INCOME &amp; PRODUCTIVITY'!X26-1)*100</f>
        <v>#N/A</v>
      </c>
      <c r="W35" s="354" t="e">
        <f>('2.2 LABOR INCOME &amp; PRODUCTIVITY'!Z24/'2.2 LABOR INCOME &amp; PRODUCTIVITY'!Y24-1)*100</f>
        <v>#N/A</v>
      </c>
      <c r="X35" s="354">
        <f>'2.2 LABOR INCOME &amp; PRODUCTIVITY'!AA11*ELASTICITY!K34</f>
        <v>-0.49745394076526811</v>
      </c>
      <c r="Y35" s="175">
        <f>'2.2 LABOR INCOME &amp; PRODUCTIVITY'!AB11*ELASTICITY!L34</f>
        <v>-0.40111077196152994</v>
      </c>
      <c r="Z35" s="175">
        <f>'2.2 LABOR INCOME &amp; PRODUCTIVITY'!AC11*ELASTICITY!M34</f>
        <v>0.7077515988003853</v>
      </c>
      <c r="AA35" s="175">
        <f>'2.2 LABOR INCOME &amp; PRODUCTIVITY'!AD11*ELASTICITY!N34</f>
        <v>0.70596009327584497</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618</v>
      </c>
      <c r="F36" s="354" t="e">
        <f>('2.2 LABOR INCOME &amp; PRODUCTIVITY'!#REF!/'2.2 LABOR INCOME &amp; PRODUCTIVITY'!#REF!-1)*100</f>
        <v>#REF!</v>
      </c>
      <c r="G36" s="354" t="e">
        <f>('2.2 LABOR INCOME &amp; PRODUCTIVITY'!#REF!/'2.2 LABOR INCOME &amp; PRODUCTIVITY'!#REF!-1)*100</f>
        <v>#REF!</v>
      </c>
      <c r="H36" s="354" t="e">
        <f>('2.2 LABOR INCOME &amp; PRODUCTIVITY'!#REF!/'2.2 LABOR INCOME &amp; PRODUCTIVITY'!#REF!-1)*100</f>
        <v>#REF!</v>
      </c>
      <c r="I36" s="354" t="e">
        <f>('2.2 LABOR INCOME &amp; PRODUCTIVITY'!#REF!/'2.2 LABOR INCOME &amp; PRODUCTIVITY'!#REF!-1)*100</f>
        <v>#REF!</v>
      </c>
      <c r="J36" s="354" t="e">
        <f>('2.2 LABOR INCOME &amp; PRODUCTIVITY'!#REF!/'2.2 LABOR INCOME &amp; PRODUCTIVITY'!#REF!-1)*100</f>
        <v>#REF!</v>
      </c>
      <c r="K36" s="354" t="e">
        <f>('2.2 LABOR INCOME &amp; PRODUCTIVITY'!#REF!/'2.2 LABOR INCOME &amp; PRODUCTIVITY'!#REF!-1)*100</f>
        <v>#REF!</v>
      </c>
      <c r="L36" s="354" t="e">
        <f>('2.2 LABOR INCOME &amp; PRODUCTIVITY'!#REF!/'2.2 LABOR INCOME &amp; PRODUCTIVITY'!#REF!-1)*100</f>
        <v>#REF!</v>
      </c>
      <c r="M36" s="354" t="e">
        <f>('2.2 LABOR INCOME &amp; PRODUCTIVITY'!#REF!/'2.2 LABOR INCOME &amp; PRODUCTIVITY'!#REF!-1)*100</f>
        <v>#REF!</v>
      </c>
      <c r="N36" s="354" t="e">
        <f>('2.2 LABOR INCOME &amp; PRODUCTIVITY'!#REF!/'2.2 LABOR INCOME &amp; PRODUCTIVITY'!#REF!-1)*100</f>
        <v>#REF!</v>
      </c>
      <c r="O36" s="354" t="e">
        <f>('2.2 LABOR INCOME &amp; PRODUCTIVITY'!#REF!/'2.2 LABOR INCOME &amp; PRODUCTIVITY'!#REF!-1)*100</f>
        <v>#REF!</v>
      </c>
      <c r="P36" s="354" t="e">
        <f>('2.2 LABOR INCOME &amp; PRODUCTIVITY'!#REF!/'2.2 LABOR INCOME &amp; PRODUCTIVITY'!#REF!-1)*100</f>
        <v>#REF!</v>
      </c>
      <c r="Q36" s="354" t="e">
        <f>('2.2 LABOR INCOME &amp; PRODUCTIVITY'!#REF!/'2.2 LABOR INCOME &amp; PRODUCTIVITY'!#REF!-1)*100</f>
        <v>#REF!</v>
      </c>
      <c r="R36" s="354" t="e">
        <f>('2.2 LABOR INCOME &amp; PRODUCTIVITY'!#REF!/'2.2 LABOR INCOME &amp; PRODUCTIVITY'!#REF!-1)*100</f>
        <v>#REF!</v>
      </c>
      <c r="S36" s="354" t="e">
        <f>('2.2 LABOR INCOME &amp; PRODUCTIVITY'!#REF!/'2.2 LABOR INCOME &amp; PRODUCTIVITY'!#REF!-1)*100</f>
        <v>#REF!</v>
      </c>
      <c r="T36" s="354" t="e">
        <f>('2.2 LABOR INCOME &amp; PRODUCTIVITY'!#REF!/'2.2 LABOR INCOME &amp; PRODUCTIVITY'!#REF!-1)*100</f>
        <v>#REF!</v>
      </c>
      <c r="U36" s="354" t="e">
        <f>('2.2 LABOR INCOME &amp; PRODUCTIVITY'!#REF!/'2.2 LABOR INCOME &amp; PRODUCTIVITY'!#REF!-1)*100</f>
        <v>#REF!</v>
      </c>
      <c r="V36" s="354" t="e">
        <f>('2.2 LABOR INCOME &amp; PRODUCTIVITY'!#REF!/'2.2 LABOR INCOME &amp; PRODUCTIVITY'!#REF!-1)*100</f>
        <v>#REF!</v>
      </c>
      <c r="W36" s="354" t="e">
        <f>('2.2 LABOR INCOME &amp; PRODUCTIVITY'!Z25/'2.2 LABOR INCOME &amp; PRODUCTIVITY'!Y25-1)*100</f>
        <v>#N/A</v>
      </c>
      <c r="X36" s="354">
        <f>'2.2 LABOR INCOME &amp; PRODUCTIVITY'!AA12*ELASTICITY!K35</f>
        <v>-0.74904072755167128</v>
      </c>
      <c r="Y36" s="175">
        <f>'2.2 LABOR INCOME &amp; PRODUCTIVITY'!AB12*ELASTICITY!L35</f>
        <v>-1.220339363207501</v>
      </c>
      <c r="Z36" s="175">
        <f>'2.2 LABOR INCOME &amp; PRODUCTIVITY'!AC12*ELASTICITY!M35</f>
        <v>0.26351343447444719</v>
      </c>
      <c r="AA36" s="175">
        <f>'2.2 LABOR INCOME &amp; PRODUCTIVITY'!AD12*ELASTICITY!N35</f>
        <v>2.2159529565410807</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619</v>
      </c>
      <c r="F37" s="354" t="e">
        <f>('2.2 LABOR INCOME &amp; PRODUCTIVITY'!#REF!/'2.2 LABOR INCOME &amp; PRODUCTIVITY'!#REF!-1)*100</f>
        <v>#REF!</v>
      </c>
      <c r="G37" s="354" t="e">
        <f>('2.2 LABOR INCOME &amp; PRODUCTIVITY'!#REF!/'2.2 LABOR INCOME &amp; PRODUCTIVITY'!#REF!-1)*100</f>
        <v>#REF!</v>
      </c>
      <c r="H37" s="354" t="e">
        <f>('2.2 LABOR INCOME &amp; PRODUCTIVITY'!#REF!/'2.2 LABOR INCOME &amp; PRODUCTIVITY'!#REF!-1)*100</f>
        <v>#REF!</v>
      </c>
      <c r="I37" s="354" t="e">
        <f>('2.2 LABOR INCOME &amp; PRODUCTIVITY'!#REF!/'2.2 LABOR INCOME &amp; PRODUCTIVITY'!#REF!-1)*100</f>
        <v>#REF!</v>
      </c>
      <c r="J37" s="354" t="e">
        <f>('2.2 LABOR INCOME &amp; PRODUCTIVITY'!#REF!/'2.2 LABOR INCOME &amp; PRODUCTIVITY'!#REF!-1)*100</f>
        <v>#REF!</v>
      </c>
      <c r="K37" s="354" t="e">
        <f>('2.2 LABOR INCOME &amp; PRODUCTIVITY'!#REF!/'2.2 LABOR INCOME &amp; PRODUCTIVITY'!#REF!-1)*100</f>
        <v>#REF!</v>
      </c>
      <c r="L37" s="354" t="e">
        <f>('2.2 LABOR INCOME &amp; PRODUCTIVITY'!#REF!/'2.2 LABOR INCOME &amp; PRODUCTIVITY'!#REF!-1)*100</f>
        <v>#REF!</v>
      </c>
      <c r="M37" s="354" t="e">
        <f>('2.2 LABOR INCOME &amp; PRODUCTIVITY'!#REF!/'2.2 LABOR INCOME &amp; PRODUCTIVITY'!#REF!-1)*100</f>
        <v>#REF!</v>
      </c>
      <c r="N37" s="354" t="e">
        <f>('2.2 LABOR INCOME &amp; PRODUCTIVITY'!#REF!/'2.2 LABOR INCOME &amp; PRODUCTIVITY'!#REF!-1)*100</f>
        <v>#REF!</v>
      </c>
      <c r="O37" s="354" t="e">
        <f>('2.2 LABOR INCOME &amp; PRODUCTIVITY'!#REF!/'2.2 LABOR INCOME &amp; PRODUCTIVITY'!#REF!-1)*100</f>
        <v>#REF!</v>
      </c>
      <c r="P37" s="354" t="e">
        <f>('2.2 LABOR INCOME &amp; PRODUCTIVITY'!#REF!/'2.2 LABOR INCOME &amp; PRODUCTIVITY'!#REF!-1)*100</f>
        <v>#REF!</v>
      </c>
      <c r="Q37" s="354" t="e">
        <f>('2.2 LABOR INCOME &amp; PRODUCTIVITY'!#REF!/'2.2 LABOR INCOME &amp; PRODUCTIVITY'!#REF!-1)*100</f>
        <v>#REF!</v>
      </c>
      <c r="R37" s="354" t="e">
        <f>('2.2 LABOR INCOME &amp; PRODUCTIVITY'!#REF!/'2.2 LABOR INCOME &amp; PRODUCTIVITY'!#REF!-1)*100</f>
        <v>#REF!</v>
      </c>
      <c r="S37" s="354" t="e">
        <f>('2.2 LABOR INCOME &amp; PRODUCTIVITY'!#REF!/'2.2 LABOR INCOME &amp; PRODUCTIVITY'!#REF!-1)*100</f>
        <v>#REF!</v>
      </c>
      <c r="T37" s="354" t="e">
        <f>('2.2 LABOR INCOME &amp; PRODUCTIVITY'!#REF!/'2.2 LABOR INCOME &amp; PRODUCTIVITY'!#REF!-1)*100</f>
        <v>#REF!</v>
      </c>
      <c r="U37" s="354" t="e">
        <f>('2.2 LABOR INCOME &amp; PRODUCTIVITY'!#REF!/'2.2 LABOR INCOME &amp; PRODUCTIVITY'!#REF!-1)*100</f>
        <v>#REF!</v>
      </c>
      <c r="V37" s="354" t="e">
        <f>('2.2 LABOR INCOME &amp; PRODUCTIVITY'!#REF!/'2.2 LABOR INCOME &amp; PRODUCTIVITY'!#REF!-1)*100</f>
        <v>#REF!</v>
      </c>
      <c r="W37" s="354" t="e">
        <f>('2.2 LABOR INCOME &amp; PRODUCTIVITY'!Z26/'2.2 LABOR INCOME &amp; PRODUCTIVITY'!Y26-1)*100</f>
        <v>#N/A</v>
      </c>
      <c r="X37" s="354">
        <f>'2.2 LABOR INCOME &amp; PRODUCTIVITY'!AA12*ELASTICITY!K36</f>
        <v>-0.1702365289890162</v>
      </c>
      <c r="Y37" s="175">
        <f>'2.2 LABOR INCOME &amp; PRODUCTIVITY'!AB12*ELASTICITY!L36</f>
        <v>-0.14983625932936562</v>
      </c>
      <c r="Z37" s="175">
        <f>'2.2 LABOR INCOME &amp; PRODUCTIVITY'!AC12*ELASTICITY!M36</f>
        <v>0.46114851033028265</v>
      </c>
      <c r="AA37" s="175">
        <f>'2.2 LABOR INCOME &amp; PRODUCTIVITY'!AD12*ELASTICITY!N36</f>
        <v>0.68940758647944744</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61" t="s">
        <v>200</v>
      </c>
      <c r="F38" s="354" t="e">
        <f>('2.2 LABOR INCOME &amp; PRODUCTIVITY'!I28/'2.2 LABOR INCOME &amp; PRODUCTIVITY'!#REF!-1)*100</f>
        <v>#N/A</v>
      </c>
      <c r="G38" s="354" t="e">
        <f>('2.2 LABOR INCOME &amp; PRODUCTIVITY'!J28/'2.2 LABOR INCOME &amp; PRODUCTIVITY'!I28-1)*100</f>
        <v>#N/A</v>
      </c>
      <c r="H38" s="354" t="e">
        <f>('2.2 LABOR INCOME &amp; PRODUCTIVITY'!K28/'2.2 LABOR INCOME &amp; PRODUCTIVITY'!J28-1)*100</f>
        <v>#N/A</v>
      </c>
      <c r="I38" s="354" t="e">
        <f>('2.2 LABOR INCOME &amp; PRODUCTIVITY'!L28/'2.2 LABOR INCOME &amp; PRODUCTIVITY'!K28-1)*100</f>
        <v>#N/A</v>
      </c>
      <c r="J38" s="354" t="e">
        <f>('2.2 LABOR INCOME &amp; PRODUCTIVITY'!M28/'2.2 LABOR INCOME &amp; PRODUCTIVITY'!L28-1)*100</f>
        <v>#N/A</v>
      </c>
      <c r="K38" s="354" t="e">
        <f>('2.2 LABOR INCOME &amp; PRODUCTIVITY'!N28/'2.2 LABOR INCOME &amp; PRODUCTIVITY'!M28-1)*100</f>
        <v>#N/A</v>
      </c>
      <c r="L38" s="354" t="e">
        <f>('2.2 LABOR INCOME &amp; PRODUCTIVITY'!O28/'2.2 LABOR INCOME &amp; PRODUCTIVITY'!N28-1)*100</f>
        <v>#N/A</v>
      </c>
      <c r="M38" s="354" t="e">
        <f>('2.2 LABOR INCOME &amp; PRODUCTIVITY'!P28/'2.2 LABOR INCOME &amp; PRODUCTIVITY'!O28-1)*100</f>
        <v>#N/A</v>
      </c>
      <c r="N38" s="354" t="e">
        <f>('2.2 LABOR INCOME &amp; PRODUCTIVITY'!Q28/'2.2 LABOR INCOME &amp; PRODUCTIVITY'!P28-1)*100</f>
        <v>#N/A</v>
      </c>
      <c r="O38" s="354" t="e">
        <f>('2.2 LABOR INCOME &amp; PRODUCTIVITY'!R28/'2.2 LABOR INCOME &amp; PRODUCTIVITY'!Q28-1)*100</f>
        <v>#N/A</v>
      </c>
      <c r="P38" s="354" t="e">
        <f>('2.2 LABOR INCOME &amp; PRODUCTIVITY'!S28/'2.2 LABOR INCOME &amp; PRODUCTIVITY'!R28-1)*100</f>
        <v>#N/A</v>
      </c>
      <c r="Q38" s="354" t="e">
        <f>('2.2 LABOR INCOME &amp; PRODUCTIVITY'!U28/'2.2 LABOR INCOME &amp; PRODUCTIVITY'!S28-1)*100</f>
        <v>#N/A</v>
      </c>
      <c r="R38" s="354" t="e">
        <f>('2.2 LABOR INCOME &amp; PRODUCTIVITY'!V28/'2.2 LABOR INCOME &amp; PRODUCTIVITY'!U28-1)*100</f>
        <v>#N/A</v>
      </c>
      <c r="S38" s="355" t="e">
        <f>('2.2 LABOR INCOME &amp; PRODUCTIVITY'!V28/'2.2 LABOR INCOME &amp; PRODUCTIVITY'!U28-1)*100</f>
        <v>#N/A</v>
      </c>
      <c r="T38" s="355" t="e">
        <f>('2.2 LABOR INCOME &amp; PRODUCTIVITY'!W28/'2.2 LABOR INCOME &amp; PRODUCTIVITY'!V28-1)*100</f>
        <v>#N/A</v>
      </c>
      <c r="U38" s="355" t="e">
        <f>('2.2 LABOR INCOME &amp; PRODUCTIVITY'!X28/'2.2 LABOR INCOME &amp; PRODUCTIVITY'!W28-1)*100</f>
        <v>#N/A</v>
      </c>
      <c r="V38" s="355" t="e">
        <f>('2.2 LABOR INCOME &amp; PRODUCTIVITY'!Y28/'2.2 LABOR INCOME &amp; PRODUCTIVITY'!X28-1)*100</f>
        <v>#N/A</v>
      </c>
      <c r="W38" s="355" t="e">
        <f>('2.2 LABOR INCOME &amp; PRODUCTIVITY'!Z27/'2.2 LABOR INCOME &amp; PRODUCTIVITY'!Y27-1)*100</f>
        <v>#N/A</v>
      </c>
      <c r="X38" s="355">
        <f>'2.2 LABOR INCOME &amp; PRODUCTIVITY'!AA16*ELASTICITY!K37</f>
        <v>0</v>
      </c>
      <c r="Y38" s="174">
        <f>'2.2 LABOR INCOME &amp; PRODUCTIVITY'!AB16*ELASTICITY!L37</f>
        <v>0</v>
      </c>
      <c r="Z38" s="174">
        <f>'2.2 LABOR INCOME &amp; PRODUCTIVITY'!AC16*ELASTICITY!M37</f>
        <v>0</v>
      </c>
      <c r="AA38" s="174">
        <f>'2.2 LABOR INCOME &amp; PRODUCTIVITY'!AD16*ELASTICITY!N37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62" t="s">
        <v>201</v>
      </c>
      <c r="F39" s="358" t="e">
        <f>('2.2 LABOR INCOME &amp; PRODUCTIVITY'!I29/'2.2 LABOR INCOME &amp; PRODUCTIVITY'!#REF!-1)*100</f>
        <v>#N/A</v>
      </c>
      <c r="G39" s="358" t="e">
        <f>('2.2 LABOR INCOME &amp; PRODUCTIVITY'!J29/'2.2 LABOR INCOME &amp; PRODUCTIVITY'!I29-1)*100</f>
        <v>#N/A</v>
      </c>
      <c r="H39" s="358" t="e">
        <f>('2.2 LABOR INCOME &amp; PRODUCTIVITY'!K29/'2.2 LABOR INCOME &amp; PRODUCTIVITY'!J29-1)*100</f>
        <v>#N/A</v>
      </c>
      <c r="I39" s="358" t="e">
        <f>('2.2 LABOR INCOME &amp; PRODUCTIVITY'!L29/'2.2 LABOR INCOME &amp; PRODUCTIVITY'!K29-1)*100</f>
        <v>#N/A</v>
      </c>
      <c r="J39" s="358" t="e">
        <f>('2.2 LABOR INCOME &amp; PRODUCTIVITY'!M29/'2.2 LABOR INCOME &amp; PRODUCTIVITY'!L29-1)*100</f>
        <v>#N/A</v>
      </c>
      <c r="K39" s="358" t="e">
        <f>('2.2 LABOR INCOME &amp; PRODUCTIVITY'!N29/'2.2 LABOR INCOME &amp; PRODUCTIVITY'!M29-1)*100</f>
        <v>#N/A</v>
      </c>
      <c r="L39" s="358" t="e">
        <f>('2.2 LABOR INCOME &amp; PRODUCTIVITY'!O29/'2.2 LABOR INCOME &amp; PRODUCTIVITY'!N29-1)*100</f>
        <v>#N/A</v>
      </c>
      <c r="M39" s="358" t="e">
        <f>('2.2 LABOR INCOME &amp; PRODUCTIVITY'!P29/'2.2 LABOR INCOME &amp; PRODUCTIVITY'!O29-1)*100</f>
        <v>#N/A</v>
      </c>
      <c r="N39" s="358" t="e">
        <f>('2.2 LABOR INCOME &amp; PRODUCTIVITY'!Q29/'2.2 LABOR INCOME &amp; PRODUCTIVITY'!P29-1)*100</f>
        <v>#N/A</v>
      </c>
      <c r="O39" s="358" t="e">
        <f>('2.2 LABOR INCOME &amp; PRODUCTIVITY'!R29/'2.2 LABOR INCOME &amp; PRODUCTIVITY'!Q29-1)*100</f>
        <v>#N/A</v>
      </c>
      <c r="P39" s="358" t="e">
        <f>('2.2 LABOR INCOME &amp; PRODUCTIVITY'!S29/'2.2 LABOR INCOME &amp; PRODUCTIVITY'!R29-1)*100</f>
        <v>#N/A</v>
      </c>
      <c r="Q39" s="358" t="e">
        <f>('2.2 LABOR INCOME &amp; PRODUCTIVITY'!U29/'2.2 LABOR INCOME &amp; PRODUCTIVITY'!S29-1)*100</f>
        <v>#N/A</v>
      </c>
      <c r="R39" s="358" t="e">
        <f>('2.2 LABOR INCOME &amp; PRODUCTIVITY'!V29/'2.2 LABOR INCOME &amp; PRODUCTIVITY'!U29-1)*100</f>
        <v>#N/A</v>
      </c>
      <c r="S39" s="363" t="e">
        <f>('2.2 LABOR INCOME &amp; PRODUCTIVITY'!V29/'2.2 LABOR INCOME &amp; PRODUCTIVITY'!U29-1)*100</f>
        <v>#N/A</v>
      </c>
      <c r="T39" s="363" t="e">
        <f>('2.2 LABOR INCOME &amp; PRODUCTIVITY'!W29/'2.2 LABOR INCOME &amp; PRODUCTIVITY'!V29-1)*100</f>
        <v>#N/A</v>
      </c>
      <c r="U39" s="363" t="e">
        <f>('2.2 LABOR INCOME &amp; PRODUCTIVITY'!X29/'2.2 LABOR INCOME &amp; PRODUCTIVITY'!W29-1)*100</f>
        <v>#N/A</v>
      </c>
      <c r="V39" s="363" t="e">
        <f>('2.2 LABOR INCOME &amp; PRODUCTIVITY'!Y29/'2.2 LABOR INCOME &amp; PRODUCTIVITY'!X29-1)*100</f>
        <v>#N/A</v>
      </c>
      <c r="W39" s="363" t="e">
        <f>('2.2 LABOR INCOME &amp; PRODUCTIVITY'!Z28/'2.2 LABOR INCOME &amp; PRODUCTIVITY'!Y28-1)*100</f>
        <v>#N/A</v>
      </c>
      <c r="X39" s="363">
        <f>'2.2 LABOR INCOME &amp; PRODUCTIVITY'!AA17*ELASTICITY!K38</f>
        <v>0</v>
      </c>
      <c r="Y39" s="177">
        <f>'2.2 LABOR INCOME &amp; PRODUCTIVITY'!AB17*ELASTICITY!L38</f>
        <v>0</v>
      </c>
      <c r="Z39" s="177">
        <f>'2.2 LABOR INCOME &amp; PRODUCTIVITY'!AC17*ELASTICITY!M38</f>
        <v>0</v>
      </c>
      <c r="AA39" s="177">
        <f>'2.2 LABOR INCOME &amp; PRODUCTIVITY'!AD17*ELASTICITY!N38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64"/>
      <c r="F40" s="165"/>
      <c r="G40" s="165"/>
      <c r="H40" s="165"/>
      <c r="I40" s="165"/>
      <c r="J40" s="165"/>
      <c r="K40" s="165"/>
      <c r="L40" s="165"/>
      <c r="M40" s="365"/>
      <c r="N40" s="365"/>
      <c r="O40" s="365"/>
      <c r="P40" s="365"/>
      <c r="Q40" s="365"/>
      <c r="R40" s="366"/>
      <c r="S40" s="365"/>
      <c r="T40" s="366"/>
      <c r="U40" s="366"/>
      <c r="V40" s="365"/>
      <c r="W40" s="365"/>
      <c r="X40" s="365"/>
      <c r="Y40" s="165"/>
      <c r="Z40" s="165"/>
      <c r="AA40" s="165"/>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64"/>
      <c r="F41" s="165"/>
      <c r="G41" s="165"/>
      <c r="H41" s="165"/>
      <c r="I41" s="165"/>
      <c r="J41" s="165"/>
      <c r="K41" s="165"/>
      <c r="L41" s="165"/>
      <c r="M41" s="365"/>
      <c r="N41" s="365"/>
      <c r="O41" s="365"/>
      <c r="P41" s="365"/>
      <c r="Q41" s="365"/>
      <c r="R41" s="366"/>
      <c r="S41" s="365"/>
      <c r="T41" s="366"/>
      <c r="U41" s="366"/>
      <c r="V41" s="365"/>
      <c r="W41" s="365"/>
      <c r="X41" s="365"/>
      <c r="Y41" s="165"/>
      <c r="Z41" s="165"/>
      <c r="AA41" s="165"/>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39">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4"/>
  <sheetViews>
    <sheetView topLeftCell="D16" zoomScale="130" zoomScaleNormal="130" workbookViewId="0">
      <selection activeCell="AD23" sqref="AD23"/>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19" width="10" style="31" hidden="1" customWidth="1"/>
    <col min="20" max="20" width="10" style="31" customWidth="1"/>
    <col min="21" max="25" width="10" style="31" hidden="1" customWidth="1"/>
    <col min="26" max="26" width="10.85546875" style="31" customWidth="1"/>
    <col min="27" max="30" width="10" style="31" customWidth="1"/>
    <col min="31" max="31" width="9.140625" style="93" customWidth="1"/>
    <col min="32" max="32" width="19.5703125" style="93" customWidth="1"/>
    <col min="33" max="42" width="10" style="93" hidden="1" customWidth="1"/>
    <col min="43" max="43" width="10" style="93" customWidth="1"/>
    <col min="44" max="48" width="10" style="93" hidden="1" customWidth="1"/>
    <col min="49"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75" t="s">
        <v>202</v>
      </c>
      <c r="D2" s="575"/>
      <c r="E2" s="575"/>
      <c r="H2" s="576" t="s">
        <v>203</v>
      </c>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6"/>
      <c r="AZ2" s="576"/>
      <c r="BA2" s="576"/>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77"/>
      <c r="D4" s="577"/>
      <c r="E4" s="577"/>
      <c r="H4" s="578" t="s">
        <v>204</v>
      </c>
      <c r="I4" s="578"/>
      <c r="J4" s="578"/>
      <c r="K4" s="578"/>
      <c r="L4" s="578"/>
      <c r="M4" s="578"/>
      <c r="N4" s="578"/>
      <c r="O4" s="578"/>
      <c r="P4" s="578"/>
      <c r="Q4" s="578"/>
      <c r="R4" s="578"/>
      <c r="S4" s="578"/>
      <c r="T4" s="578"/>
      <c r="U4" s="578"/>
      <c r="V4" s="578"/>
      <c r="W4" s="578"/>
      <c r="X4" s="578"/>
      <c r="Y4" s="578"/>
      <c r="Z4" s="578"/>
      <c r="AA4" s="578"/>
      <c r="AB4" s="578"/>
      <c r="AC4" s="578"/>
      <c r="AD4" s="578"/>
      <c r="AE4" s="578"/>
      <c r="AF4" s="578"/>
      <c r="AG4" s="578"/>
      <c r="AH4" s="578"/>
      <c r="AI4" s="578"/>
      <c r="AJ4" s="578"/>
      <c r="AK4" s="578"/>
      <c r="AL4" s="578"/>
      <c r="AM4" s="578"/>
      <c r="AN4" s="578"/>
      <c r="AO4" s="578"/>
      <c r="AP4" s="578"/>
      <c r="AQ4" s="578"/>
      <c r="AR4" s="578"/>
      <c r="AS4" s="578"/>
      <c r="AT4" s="578"/>
      <c r="AU4" s="578"/>
      <c r="AV4" s="578"/>
      <c r="AW4" s="578"/>
      <c r="AX4" s="578"/>
      <c r="AY4" s="578"/>
      <c r="AZ4" s="578"/>
      <c r="BA4" s="578"/>
    </row>
    <row r="5" spans="1:53" ht="15" customHeight="1" x14ac:dyDescent="0.2">
      <c r="C5" s="579" t="s">
        <v>205</v>
      </c>
      <c r="D5" s="579"/>
      <c r="E5" s="579"/>
      <c r="G5" s="367"/>
      <c r="H5" s="581" t="s">
        <v>206</v>
      </c>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c r="AL5" s="581"/>
      <c r="AM5" s="581"/>
      <c r="AN5" s="581"/>
      <c r="AO5" s="581"/>
      <c r="AP5" s="581"/>
      <c r="AQ5" s="581"/>
      <c r="AR5" s="581"/>
      <c r="AS5" s="581"/>
      <c r="AT5" s="581"/>
      <c r="AU5" s="581"/>
      <c r="AV5" s="581"/>
      <c r="AW5" s="581"/>
      <c r="AX5" s="581"/>
      <c r="AY5" s="581"/>
      <c r="AZ5" s="581"/>
      <c r="BA5" s="581"/>
    </row>
    <row r="6" spans="1:53" ht="30.75" customHeight="1" x14ac:dyDescent="0.2">
      <c r="C6" s="579"/>
      <c r="D6" s="579"/>
      <c r="E6" s="579"/>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74" t="s">
        <v>207</v>
      </c>
      <c r="D7" s="574"/>
      <c r="E7" s="181"/>
      <c r="F7" s="367"/>
      <c r="G7" s="367"/>
      <c r="H7" s="583" t="s">
        <v>208</v>
      </c>
      <c r="I7" s="389" t="s">
        <v>133</v>
      </c>
      <c r="J7" s="389" t="s">
        <v>133</v>
      </c>
      <c r="K7" s="389" t="s">
        <v>133</v>
      </c>
      <c r="L7" s="389" t="s">
        <v>133</v>
      </c>
      <c r="M7" s="389" t="s">
        <v>133</v>
      </c>
      <c r="N7" s="389" t="s">
        <v>133</v>
      </c>
      <c r="O7" s="389" t="s">
        <v>133</v>
      </c>
      <c r="P7" s="389" t="s">
        <v>133</v>
      </c>
      <c r="Q7" s="389" t="s">
        <v>133</v>
      </c>
      <c r="R7" s="389" t="s">
        <v>133</v>
      </c>
      <c r="S7" s="389" t="s">
        <v>133</v>
      </c>
      <c r="T7" s="389" t="s">
        <v>133</v>
      </c>
      <c r="U7" s="389" t="s">
        <v>133</v>
      </c>
      <c r="V7" s="389" t="s">
        <v>133</v>
      </c>
      <c r="W7" s="389" t="s">
        <v>133</v>
      </c>
      <c r="X7" s="389" t="s">
        <v>133</v>
      </c>
      <c r="Y7" s="389" t="s">
        <v>133</v>
      </c>
      <c r="Z7" s="389" t="s">
        <v>133</v>
      </c>
      <c r="AA7" s="389" t="s">
        <v>133</v>
      </c>
      <c r="AB7" s="584" t="s">
        <v>209</v>
      </c>
      <c r="AC7" s="584"/>
      <c r="AD7" s="584"/>
      <c r="AE7" s="102"/>
      <c r="AF7" s="582" t="s">
        <v>210</v>
      </c>
      <c r="AG7" s="389"/>
      <c r="AH7" s="389"/>
      <c r="AI7" s="389"/>
      <c r="AJ7" s="389"/>
      <c r="AK7" s="389"/>
      <c r="AL7" s="389"/>
      <c r="AM7" s="389"/>
      <c r="AN7" s="389"/>
      <c r="AO7" s="389"/>
      <c r="AP7" s="389"/>
      <c r="AQ7" s="389"/>
      <c r="AR7" s="389"/>
      <c r="AS7" s="389" t="s">
        <v>133</v>
      </c>
      <c r="AT7" s="389" t="s">
        <v>133</v>
      </c>
      <c r="AU7" s="389" t="s">
        <v>133</v>
      </c>
      <c r="AV7" s="389" t="s">
        <v>133</v>
      </c>
      <c r="AW7" s="389" t="s">
        <v>133</v>
      </c>
      <c r="AX7" s="389" t="s">
        <v>133</v>
      </c>
      <c r="AY7" s="584" t="s">
        <v>7</v>
      </c>
      <c r="AZ7" s="584"/>
      <c r="BA7" s="584"/>
    </row>
    <row r="8" spans="1:53" ht="22.5" x14ac:dyDescent="0.2">
      <c r="C8" s="574"/>
      <c r="D8" s="574"/>
      <c r="E8" s="182" t="s">
        <v>211</v>
      </c>
      <c r="F8" s="368"/>
      <c r="G8" s="367"/>
      <c r="H8" s="583"/>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82"/>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74" t="s">
        <v>212</v>
      </c>
      <c r="D9" s="574"/>
      <c r="E9" s="580"/>
      <c r="F9" s="367"/>
      <c r="G9" s="367"/>
      <c r="H9" s="441" t="s">
        <v>213</v>
      </c>
      <c r="I9" s="369" t="e">
        <v>#N/A</v>
      </c>
      <c r="J9" s="369" t="e">
        <v>#N/A</v>
      </c>
      <c r="K9" s="369" t="e">
        <f>+(AH9/AG9-1)*100</f>
        <v>#N/A</v>
      </c>
      <c r="L9" s="369" t="e">
        <f t="shared" ref="L9:Y9" si="0">+(AI9/AH9-1)*100</f>
        <v>#N/A</v>
      </c>
      <c r="M9" s="369" t="e">
        <f t="shared" si="0"/>
        <v>#N/A</v>
      </c>
      <c r="N9" s="369" t="e">
        <f t="shared" si="0"/>
        <v>#N/A</v>
      </c>
      <c r="O9" s="369" t="e">
        <f t="shared" si="0"/>
        <v>#N/A</v>
      </c>
      <c r="P9" s="369" t="e">
        <f t="shared" si="0"/>
        <v>#N/A</v>
      </c>
      <c r="Q9" s="369" t="e">
        <f t="shared" si="0"/>
        <v>#N/A</v>
      </c>
      <c r="R9" s="369" t="e">
        <f t="shared" si="0"/>
        <v>#N/A</v>
      </c>
      <c r="S9" s="369" t="e">
        <f t="shared" si="0"/>
        <v>#N/A</v>
      </c>
      <c r="T9" s="369" t="e">
        <f t="shared" si="0"/>
        <v>#N/A</v>
      </c>
      <c r="U9" s="369" t="e">
        <f t="shared" si="0"/>
        <v>#N/A</v>
      </c>
      <c r="V9" s="369" t="e">
        <f t="shared" si="0"/>
        <v>#N/A</v>
      </c>
      <c r="W9" s="369" t="e">
        <f t="shared" si="0"/>
        <v>#N/A</v>
      </c>
      <c r="X9" s="369" t="e">
        <f t="shared" si="0"/>
        <v>#N/A</v>
      </c>
      <c r="Y9" s="369" t="e">
        <f t="shared" si="0"/>
        <v>#N/A</v>
      </c>
      <c r="Z9" s="369" t="e">
        <f t="shared" ref="Z9:AC9" si="1">+(AW9/AV9-1)*100</f>
        <v>#N/A</v>
      </c>
      <c r="AA9" s="247">
        <f>+(AX9/AW9-1)*100</f>
        <v>5.4675852275199999</v>
      </c>
      <c r="AB9" s="247">
        <f t="shared" si="1"/>
        <v>3.8195155073379894</v>
      </c>
      <c r="AC9" s="247">
        <f t="shared" si="1"/>
        <v>3.7767716899543835</v>
      </c>
      <c r="AD9" s="247">
        <f>+(BA9/AZ9-1)*100</f>
        <v>4.6174095121106706</v>
      </c>
      <c r="AF9" s="284" t="s">
        <v>213</v>
      </c>
      <c r="AG9" s="385" t="e">
        <f>+'1. GDP'!I8*1000/'2.1 LABOR STRUCTURE'!J11</f>
        <v>#N/A</v>
      </c>
      <c r="AH9" s="385" t="e">
        <f>+'1. GDP'!J8*1000/'2.1 LABOR STRUCTURE'!K11</f>
        <v>#N/A</v>
      </c>
      <c r="AI9" s="385" t="e">
        <f>+'1. GDP'!K8*1000/'2.1 LABOR STRUCTURE'!L11</f>
        <v>#N/A</v>
      </c>
      <c r="AJ9" s="385" t="e">
        <f>+'1. GDP'!L8*1000/'2.1 LABOR STRUCTURE'!M11</f>
        <v>#N/A</v>
      </c>
      <c r="AK9" s="385" t="e">
        <f>+'1. GDP'!M8*1000/'2.1 LABOR STRUCTURE'!N11</f>
        <v>#N/A</v>
      </c>
      <c r="AL9" s="385" t="e">
        <f>+'1. GDP'!N8*1000/'2.1 LABOR STRUCTURE'!O11</f>
        <v>#N/A</v>
      </c>
      <c r="AM9" s="385" t="e">
        <f>+'1. GDP'!O8*1000/'2.1 LABOR STRUCTURE'!P11</f>
        <v>#N/A</v>
      </c>
      <c r="AN9" s="385" t="e">
        <f>+'1. GDP'!P8*1000/'2.1 LABOR STRUCTURE'!Q11</f>
        <v>#N/A</v>
      </c>
      <c r="AO9" s="385" t="e">
        <f>+'1. GDP'!Q8*1000/'2.1 LABOR STRUCTURE'!R11</f>
        <v>#N/A</v>
      </c>
      <c r="AP9" s="385" t="e">
        <f>+'1. GDP'!R8*1000/'2.1 LABOR STRUCTURE'!S11</f>
        <v>#N/A</v>
      </c>
      <c r="AQ9" s="385">
        <f>+'1. GDP'!S8*1000/'2.1 LABOR STRUCTURE'!T11</f>
        <v>415.7606741354237</v>
      </c>
      <c r="AR9" s="385" t="e">
        <f>+'1. GDP'!T8*1000/'2.1 LABOR STRUCTURE'!U11</f>
        <v>#N/A</v>
      </c>
      <c r="AS9" s="385" t="e">
        <f>+'1. GDP'!U8*1000/'2.1 LABOR STRUCTURE'!V11</f>
        <v>#N/A</v>
      </c>
      <c r="AT9" s="385" t="e">
        <f>+'1. GDP'!V8*1000/'2.1 LABOR STRUCTURE'!W11</f>
        <v>#N/A</v>
      </c>
      <c r="AU9" s="385" t="e">
        <f>+'1. GDP'!W8*1000/'2.1 LABOR STRUCTURE'!X11</f>
        <v>#N/A</v>
      </c>
      <c r="AV9" s="385" t="e">
        <f>+'1. GDP'!X8*1000/'2.1 LABOR STRUCTURE'!Y11</f>
        <v>#N/A</v>
      </c>
      <c r="AW9" s="385">
        <f>+'1. GDP'!Y8*1000/'2.1 LABOR STRUCTURE'!Z11</f>
        <v>522.04708601659763</v>
      </c>
      <c r="AX9" s="385">
        <f>+'1. GDP'!Z8*1000/'2.1 LABOR STRUCTURE'!AA11</f>
        <v>550.59045537233976</v>
      </c>
      <c r="AY9" s="249">
        <f>+'1. GDP'!AA8*1000/'2.1 LABOR STRUCTURE'!AB11</f>
        <v>571.62034319720908</v>
      </c>
      <c r="AZ9" s="249">
        <f>+'1. GDP'!AB8*1000/'2.1 LABOR STRUCTURE'!AC11</f>
        <v>593.20913849310136</v>
      </c>
      <c r="BA9" s="249">
        <f>+'1. GDP'!AC8*1000/'2.1 LABOR STRUCTURE'!AD11</f>
        <v>620.60003368059154</v>
      </c>
    </row>
    <row r="10" spans="1:53" ht="15.75" customHeight="1" x14ac:dyDescent="0.2">
      <c r="C10" s="574"/>
      <c r="D10" s="574"/>
      <c r="E10" s="580"/>
      <c r="H10" s="447" t="s">
        <v>29</v>
      </c>
      <c r="I10" s="369" t="e">
        <v>#N/A</v>
      </c>
      <c r="J10" s="369" t="e">
        <v>#N/A</v>
      </c>
      <c r="K10" s="369" t="e">
        <f t="shared" ref="K10:K11" si="2">+(AH10/AG10-1)*100</f>
        <v>#N/A</v>
      </c>
      <c r="L10" s="369" t="e">
        <f t="shared" ref="L10:L11" si="3">+(AI10/AH10-1)*100</f>
        <v>#N/A</v>
      </c>
      <c r="M10" s="369" t="e">
        <f t="shared" ref="M10:M11" si="4">+(AJ10/AI10-1)*100</f>
        <v>#N/A</v>
      </c>
      <c r="N10" s="369" t="e">
        <f t="shared" ref="N10:N11" si="5">+(AK10/AJ10-1)*100</f>
        <v>#N/A</v>
      </c>
      <c r="O10" s="369" t="e">
        <f t="shared" ref="O10:O11" si="6">+(AL10/AK10-1)*100</f>
        <v>#N/A</v>
      </c>
      <c r="P10" s="369" t="e">
        <f t="shared" ref="P10:P11" si="7">+(AM10/AL10-1)*100</f>
        <v>#N/A</v>
      </c>
      <c r="Q10" s="369" t="e">
        <f t="shared" ref="Q10:Q11" si="8">+(AN10/AM10-1)*100</f>
        <v>#N/A</v>
      </c>
      <c r="R10" s="369" t="e">
        <f t="shared" ref="R10:R11" si="9">+(AO10/AN10-1)*100</f>
        <v>#N/A</v>
      </c>
      <c r="S10" s="369" t="e">
        <f t="shared" ref="S10:S11" si="10">+(AP10/AO10-1)*100</f>
        <v>#N/A</v>
      </c>
      <c r="T10" s="369" t="e">
        <f t="shared" ref="T10:T11" si="11">+(AQ10/AP10-1)*100</f>
        <v>#N/A</v>
      </c>
      <c r="U10" s="369" t="e">
        <f t="shared" ref="U10:U11" si="12">+(AR10/AQ10-1)*100</f>
        <v>#N/A</v>
      </c>
      <c r="V10" s="369" t="e">
        <f t="shared" ref="V10:V11" si="13">+(AS10/AR10-1)*100</f>
        <v>#N/A</v>
      </c>
      <c r="W10" s="369" t="e">
        <f t="shared" ref="W10:W11" si="14">+(AT10/AS10-1)*100</f>
        <v>#N/A</v>
      </c>
      <c r="X10" s="369" t="e">
        <f t="shared" ref="X10:X11" si="15">+(AU10/AT10-1)*100</f>
        <v>#N/A</v>
      </c>
      <c r="Y10" s="369" t="e">
        <f t="shared" ref="Y10:Y11" si="16">+(AV10/AU10-1)*100</f>
        <v>#N/A</v>
      </c>
      <c r="Z10" s="369" t="e">
        <f t="shared" ref="Z10:Z11" si="17">+(AW10/AV10-1)*100</f>
        <v>#N/A</v>
      </c>
      <c r="AA10" s="247">
        <f>+(AX10/AW10-1)*100</f>
        <v>6.053075456174728</v>
      </c>
      <c r="AB10" s="247">
        <f t="shared" ref="AB10:AB11" si="18">+(AY10/AX10-1)*100</f>
        <v>1.5441351267993175</v>
      </c>
      <c r="AC10" s="247">
        <f t="shared" ref="AC10:AC11" si="19">+(AZ10/AY10-1)*100</f>
        <v>1.8803783251452932</v>
      </c>
      <c r="AD10" s="247">
        <f>+(BA10/AZ10-1)*100</f>
        <v>2.3579310439083123</v>
      </c>
      <c r="AF10" s="447" t="s">
        <v>29</v>
      </c>
      <c r="AG10" s="386" t="e">
        <f>'1. GDP'!I17*1000/'2.1 LABOR STRUCTURE'!J14</f>
        <v>#N/A</v>
      </c>
      <c r="AH10" s="386" t="e">
        <f>'1. GDP'!J17*1000/'2.1 LABOR STRUCTURE'!K14</f>
        <v>#N/A</v>
      </c>
      <c r="AI10" s="386" t="e">
        <f>'1. GDP'!K17*1000/'2.1 LABOR STRUCTURE'!L14</f>
        <v>#N/A</v>
      </c>
      <c r="AJ10" s="386" t="e">
        <f>'1. GDP'!L17*1000/'2.1 LABOR STRUCTURE'!M14</f>
        <v>#N/A</v>
      </c>
      <c r="AK10" s="386" t="e">
        <f>'1. GDP'!M17*1000/'2.1 LABOR STRUCTURE'!N14</f>
        <v>#N/A</v>
      </c>
      <c r="AL10" s="386" t="e">
        <f>'1. GDP'!N17*1000/'2.1 LABOR STRUCTURE'!O14</f>
        <v>#N/A</v>
      </c>
      <c r="AM10" s="386" t="e">
        <f>'1. GDP'!O17*1000/'2.1 LABOR STRUCTURE'!P14</f>
        <v>#N/A</v>
      </c>
      <c r="AN10" s="386" t="e">
        <f>'1. GDP'!P17*1000/'2.1 LABOR STRUCTURE'!Q14</f>
        <v>#N/A</v>
      </c>
      <c r="AO10" s="386" t="e">
        <f>'1. GDP'!Q17*1000/'2.1 LABOR STRUCTURE'!R14</f>
        <v>#N/A</v>
      </c>
      <c r="AP10" s="386" t="e">
        <f>'1. GDP'!R17*1000/'2.1 LABOR STRUCTURE'!S14</f>
        <v>#N/A</v>
      </c>
      <c r="AQ10" s="386">
        <f>'1. GDP'!S17*1000/'2.1 LABOR STRUCTURE'!T14</f>
        <v>169.04805962457314</v>
      </c>
      <c r="AR10" s="386" t="e">
        <f>'1. GDP'!T17*1000/'2.1 LABOR STRUCTURE'!U14</f>
        <v>#N/A</v>
      </c>
      <c r="AS10" s="385" t="e">
        <f>'1. GDP'!U17*1000/'2.1 LABOR STRUCTURE'!V14</f>
        <v>#N/A</v>
      </c>
      <c r="AT10" s="385" t="e">
        <f>'1. GDP'!V17*1000/'2.1 LABOR STRUCTURE'!W14</f>
        <v>#N/A</v>
      </c>
      <c r="AU10" s="385" t="e">
        <f>'1. GDP'!W17*1000/'2.1 LABOR STRUCTURE'!X14</f>
        <v>#N/A</v>
      </c>
      <c r="AV10" s="385" t="e">
        <f>'1. GDP'!X17*1000/'2.1 LABOR STRUCTURE'!Y14</f>
        <v>#N/A</v>
      </c>
      <c r="AW10" s="385">
        <f>'1. GDP'!Y17*1000/'2.1 LABOR STRUCTURE'!Z14</f>
        <v>183.48751325261949</v>
      </c>
      <c r="AX10" s="385">
        <f>'1. GDP'!Z17*1000/'2.1 LABOR STRUCTURE'!AA14</f>
        <v>194.59415088245916</v>
      </c>
      <c r="AY10" s="250">
        <f>'1. GDP'!AA17*1000/'2.1 LABOR STRUCTURE'!AB14</f>
        <v>197.59894752093206</v>
      </c>
      <c r="AZ10" s="250">
        <f>'1. GDP'!AB17*1000/'2.1 LABOR STRUCTURE'!AC14</f>
        <v>201.3145553008309</v>
      </c>
      <c r="BA10" s="250">
        <f>'1. GDP'!AC17*1000/'2.1 LABOR STRUCTURE'!AD14</f>
        <v>206.06141369617518</v>
      </c>
    </row>
    <row r="11" spans="1:53" ht="15" customHeight="1" x14ac:dyDescent="0.2">
      <c r="C11" s="574" t="s">
        <v>214</v>
      </c>
      <c r="D11" s="574"/>
      <c r="E11" s="181"/>
      <c r="H11" s="447" t="s">
        <v>31</v>
      </c>
      <c r="I11" s="369" t="e">
        <v>#N/A</v>
      </c>
      <c r="J11" s="369" t="e">
        <v>#N/A</v>
      </c>
      <c r="K11" s="369" t="e">
        <f t="shared" si="2"/>
        <v>#N/A</v>
      </c>
      <c r="L11" s="369" t="e">
        <f t="shared" si="3"/>
        <v>#N/A</v>
      </c>
      <c r="M11" s="369" t="e">
        <f t="shared" si="4"/>
        <v>#N/A</v>
      </c>
      <c r="N11" s="369" t="e">
        <f t="shared" si="5"/>
        <v>#N/A</v>
      </c>
      <c r="O11" s="369" t="e">
        <f t="shared" si="6"/>
        <v>#N/A</v>
      </c>
      <c r="P11" s="369" t="e">
        <f t="shared" si="7"/>
        <v>#N/A</v>
      </c>
      <c r="Q11" s="369" t="e">
        <f t="shared" si="8"/>
        <v>#N/A</v>
      </c>
      <c r="R11" s="369" t="e">
        <f t="shared" si="9"/>
        <v>#N/A</v>
      </c>
      <c r="S11" s="369" t="e">
        <f t="shared" si="10"/>
        <v>#N/A</v>
      </c>
      <c r="T11" s="369" t="e">
        <f t="shared" si="11"/>
        <v>#N/A</v>
      </c>
      <c r="U11" s="369" t="e">
        <f t="shared" si="12"/>
        <v>#N/A</v>
      </c>
      <c r="V11" s="369" t="e">
        <f t="shared" si="13"/>
        <v>#N/A</v>
      </c>
      <c r="W11" s="369" t="e">
        <f t="shared" si="14"/>
        <v>#N/A</v>
      </c>
      <c r="X11" s="369" t="e">
        <f t="shared" si="15"/>
        <v>#N/A</v>
      </c>
      <c r="Y11" s="369" t="e">
        <f t="shared" si="16"/>
        <v>#N/A</v>
      </c>
      <c r="Z11" s="369" t="e">
        <f t="shared" si="17"/>
        <v>#N/A</v>
      </c>
      <c r="AA11" s="247">
        <f t="shared" ref="AA11" si="20">+(AX11/AW11-1)*100</f>
        <v>7.1064848680752579</v>
      </c>
      <c r="AB11" s="247">
        <f t="shared" si="18"/>
        <v>5.7301538851647127</v>
      </c>
      <c r="AC11" s="247">
        <f t="shared" si="19"/>
        <v>4.4234474925024081</v>
      </c>
      <c r="AD11" s="247">
        <f>+(BA11/AZ11-1)*100</f>
        <v>4.4122505829740311</v>
      </c>
      <c r="AF11" s="447" t="s">
        <v>31</v>
      </c>
      <c r="AG11" s="386" t="e">
        <f>'1. GDP'!I18*1000/'2.1 LABOR STRUCTURE'!J15</f>
        <v>#N/A</v>
      </c>
      <c r="AH11" s="386" t="e">
        <f>'1. GDP'!J18*1000/'2.1 LABOR STRUCTURE'!K15</f>
        <v>#N/A</v>
      </c>
      <c r="AI11" s="386" t="e">
        <f>'1. GDP'!K18*1000/'2.1 LABOR STRUCTURE'!L15</f>
        <v>#N/A</v>
      </c>
      <c r="AJ11" s="386" t="e">
        <f>'1. GDP'!L18*1000/'2.1 LABOR STRUCTURE'!M15</f>
        <v>#N/A</v>
      </c>
      <c r="AK11" s="386" t="e">
        <f>'1. GDP'!M18*1000/'2.1 LABOR STRUCTURE'!N15</f>
        <v>#N/A</v>
      </c>
      <c r="AL11" s="386" t="e">
        <f>'1. GDP'!N18*1000/'2.1 LABOR STRUCTURE'!O15</f>
        <v>#N/A</v>
      </c>
      <c r="AM11" s="386" t="e">
        <f>'1. GDP'!O18*1000/'2.1 LABOR STRUCTURE'!P15</f>
        <v>#N/A</v>
      </c>
      <c r="AN11" s="386" t="e">
        <f>'1. GDP'!P18*1000/'2.1 LABOR STRUCTURE'!Q15</f>
        <v>#N/A</v>
      </c>
      <c r="AO11" s="386" t="e">
        <f>'1. GDP'!Q18*1000/'2.1 LABOR STRUCTURE'!R15</f>
        <v>#N/A</v>
      </c>
      <c r="AP11" s="386" t="e">
        <f>'1. GDP'!R18*1000/'2.1 LABOR STRUCTURE'!S15</f>
        <v>#N/A</v>
      </c>
      <c r="AQ11" s="386">
        <f>'1. GDP'!S18*1000/'2.1 LABOR STRUCTURE'!T15</f>
        <v>509.58311808192695</v>
      </c>
      <c r="AR11" s="386" t="e">
        <f>'1. GDP'!T18*1000/'2.1 LABOR STRUCTURE'!U15</f>
        <v>#N/A</v>
      </c>
      <c r="AS11" s="385" t="e">
        <f>'1. GDP'!U18*1000/'2.1 LABOR STRUCTURE'!V15</f>
        <v>#N/A</v>
      </c>
      <c r="AT11" s="385" t="e">
        <f>'1. GDP'!V18*1000/'2.1 LABOR STRUCTURE'!W15</f>
        <v>#N/A</v>
      </c>
      <c r="AU11" s="385" t="e">
        <f>'1. GDP'!W18*1000/'2.1 LABOR STRUCTURE'!X15</f>
        <v>#N/A</v>
      </c>
      <c r="AV11" s="385" t="e">
        <f>'1. GDP'!X18*1000/'2.1 LABOR STRUCTURE'!Y15</f>
        <v>#N/A</v>
      </c>
      <c r="AW11" s="385">
        <f>'1. GDP'!Y18*1000/'2.1 LABOR STRUCTURE'!Z15</f>
        <v>665.94848482715008</v>
      </c>
      <c r="AX11" s="385">
        <f>'1. GDP'!Z18*1000/'2.1 LABOR STRUCTURE'!AA15</f>
        <v>713.27401313056794</v>
      </c>
      <c r="AY11" s="250">
        <f>'1. GDP'!AA18*1000/'2.1 LABOR STRUCTURE'!AB15</f>
        <v>754.1457117058394</v>
      </c>
      <c r="AZ11" s="250">
        <f>'1. GDP'!AB18*1000/'2.1 LABOR STRUCTURE'!AC15</f>
        <v>787.50495128010573</v>
      </c>
      <c r="BA11" s="250">
        <f>'1. GDP'!AC18*1000/'2.1 LABOR STRUCTURE'!AD15</f>
        <v>822.25164308391163</v>
      </c>
    </row>
    <row r="12" spans="1:53" ht="21.75" customHeight="1" x14ac:dyDescent="0.2">
      <c r="C12" s="574"/>
      <c r="D12" s="574"/>
      <c r="E12" s="182" t="s">
        <v>140</v>
      </c>
      <c r="H12" s="447" t="s">
        <v>33</v>
      </c>
      <c r="I12" s="369" t="e">
        <v>#N/A</v>
      </c>
      <c r="J12" s="369" t="e">
        <v>#N/A</v>
      </c>
      <c r="K12" s="369" t="e">
        <f t="shared" ref="K12:AD12" si="21">+(AH12/AG12-1)*100</f>
        <v>#N/A</v>
      </c>
      <c r="L12" s="369" t="e">
        <f t="shared" si="21"/>
        <v>#N/A</v>
      </c>
      <c r="M12" s="369" t="e">
        <f t="shared" si="21"/>
        <v>#N/A</v>
      </c>
      <c r="N12" s="369" t="e">
        <f t="shared" si="21"/>
        <v>#N/A</v>
      </c>
      <c r="O12" s="369" t="e">
        <f t="shared" si="21"/>
        <v>#N/A</v>
      </c>
      <c r="P12" s="369" t="e">
        <f t="shared" si="21"/>
        <v>#N/A</v>
      </c>
      <c r="Q12" s="369" t="e">
        <f t="shared" si="21"/>
        <v>#N/A</v>
      </c>
      <c r="R12" s="369" t="e">
        <f t="shared" si="21"/>
        <v>#N/A</v>
      </c>
      <c r="S12" s="369" t="e">
        <f t="shared" si="21"/>
        <v>#N/A</v>
      </c>
      <c r="T12" s="369" t="e">
        <f t="shared" si="21"/>
        <v>#N/A</v>
      </c>
      <c r="U12" s="369" t="e">
        <f t="shared" si="21"/>
        <v>#N/A</v>
      </c>
      <c r="V12" s="369" t="e">
        <f t="shared" si="21"/>
        <v>#N/A</v>
      </c>
      <c r="W12" s="369" t="e">
        <f t="shared" si="21"/>
        <v>#N/A</v>
      </c>
      <c r="X12" s="369" t="e">
        <f t="shared" si="21"/>
        <v>#N/A</v>
      </c>
      <c r="Y12" s="369" t="e">
        <f t="shared" si="21"/>
        <v>#N/A</v>
      </c>
      <c r="Z12" s="369" t="e">
        <f t="shared" si="21"/>
        <v>#N/A</v>
      </c>
      <c r="AA12" s="247">
        <f t="shared" si="21"/>
        <v>3.404730579780324</v>
      </c>
      <c r="AB12" s="247">
        <f t="shared" si="21"/>
        <v>2.9967251865873124</v>
      </c>
      <c r="AC12" s="247">
        <f t="shared" si="21"/>
        <v>3.2939179309305899</v>
      </c>
      <c r="AD12" s="247">
        <f t="shared" si="21"/>
        <v>4.9243399034246238</v>
      </c>
      <c r="AF12" s="447" t="s">
        <v>33</v>
      </c>
      <c r="AG12" s="386" t="e">
        <f>'1. GDP'!I21*1000/'2.1 LABOR STRUCTURE'!J18</f>
        <v>#N/A</v>
      </c>
      <c r="AH12" s="386" t="e">
        <f>'1. GDP'!J21*1000/'2.1 LABOR STRUCTURE'!K18</f>
        <v>#N/A</v>
      </c>
      <c r="AI12" s="386" t="e">
        <f>'1. GDP'!K21*1000/'2.1 LABOR STRUCTURE'!L18</f>
        <v>#N/A</v>
      </c>
      <c r="AJ12" s="386" t="e">
        <f>'1. GDP'!L21*1000/'2.1 LABOR STRUCTURE'!M18</f>
        <v>#N/A</v>
      </c>
      <c r="AK12" s="386" t="e">
        <f>'1. GDP'!M21*1000/'2.1 LABOR STRUCTURE'!N18</f>
        <v>#N/A</v>
      </c>
      <c r="AL12" s="386" t="e">
        <f>'1. GDP'!N21*1000/'2.1 LABOR STRUCTURE'!O18</f>
        <v>#N/A</v>
      </c>
      <c r="AM12" s="386" t="e">
        <f>'1. GDP'!O21*1000/'2.1 LABOR STRUCTURE'!P18</f>
        <v>#N/A</v>
      </c>
      <c r="AN12" s="386" t="e">
        <f>'1. GDP'!P21*1000/'2.1 LABOR STRUCTURE'!Q18</f>
        <v>#N/A</v>
      </c>
      <c r="AO12" s="386" t="e">
        <f>'1. GDP'!Q21*1000/'2.1 LABOR STRUCTURE'!R18</f>
        <v>#N/A</v>
      </c>
      <c r="AP12" s="386" t="e">
        <f>'1. GDP'!R21*1000/'2.1 LABOR STRUCTURE'!S18</f>
        <v>#N/A</v>
      </c>
      <c r="AQ12" s="386">
        <f>'1. GDP'!S21*1000/'2.1 LABOR STRUCTURE'!T18</f>
        <v>512.57726549099345</v>
      </c>
      <c r="AR12" s="386" t="e">
        <f>'1. GDP'!T21*1000/'2.1 LABOR STRUCTURE'!U18</f>
        <v>#N/A</v>
      </c>
      <c r="AS12" s="385" t="e">
        <f>'1. GDP'!U21*1000/'2.1 LABOR STRUCTURE'!V18</f>
        <v>#N/A</v>
      </c>
      <c r="AT12" s="385" t="e">
        <f>'1. GDP'!V21*1000/'2.1 LABOR STRUCTURE'!W18</f>
        <v>#N/A</v>
      </c>
      <c r="AU12" s="385" t="e">
        <f>'1. GDP'!W21*1000/'2.1 LABOR STRUCTURE'!X18</f>
        <v>#N/A</v>
      </c>
      <c r="AV12" s="385" t="e">
        <f>'1. GDP'!X21*1000/'2.1 LABOR STRUCTURE'!Y18</f>
        <v>#N/A</v>
      </c>
      <c r="AW12" s="385">
        <f>'1. GDP'!Y21*1000/'2.1 LABOR STRUCTURE'!Z18</f>
        <v>640.80639385335837</v>
      </c>
      <c r="AX12" s="385">
        <f>'1. GDP'!Z21*1000/'2.1 LABOR STRUCTURE'!AA18</f>
        <v>662.62412510207128</v>
      </c>
      <c r="AY12" s="250">
        <f>'1. GDP'!AA21*1000/'2.1 LABOR STRUCTURE'!AB18</f>
        <v>682.48114915140889</v>
      </c>
      <c r="AZ12" s="250">
        <f>'1. GDP'!AB21*1000/'2.1 LABOR STRUCTURE'!AC18</f>
        <v>704.96151809852824</v>
      </c>
      <c r="BA12" s="250">
        <f>'1. GDP'!AC21*1000/'2.1 LABOR STRUCTURE'!AD18</f>
        <v>739.67621943804204</v>
      </c>
    </row>
    <row r="13" spans="1:53" s="93" customFormat="1" ht="15" customHeight="1" x14ac:dyDescent="0.2">
      <c r="A13" s="37"/>
      <c r="B13" s="115"/>
      <c r="C13" s="574" t="s">
        <v>215</v>
      </c>
      <c r="D13" s="574"/>
      <c r="E13" s="181"/>
      <c r="H13" s="370"/>
      <c r="I13" s="371"/>
      <c r="J13" s="371"/>
      <c r="K13" s="371"/>
      <c r="L13" s="371"/>
      <c r="M13" s="371"/>
      <c r="N13" s="371"/>
      <c r="O13" s="371"/>
      <c r="P13" s="371"/>
      <c r="Q13" s="371"/>
      <c r="R13" s="371"/>
      <c r="S13" s="371"/>
      <c r="T13" s="371"/>
      <c r="U13" s="371"/>
      <c r="V13" s="371"/>
      <c r="W13" s="371"/>
      <c r="X13" s="371"/>
      <c r="Y13" s="371"/>
      <c r="Z13" s="371"/>
      <c r="AA13" s="248"/>
      <c r="AB13" s="248"/>
      <c r="AC13" s="248"/>
      <c r="AD13" s="248"/>
      <c r="AF13" s="370"/>
      <c r="AG13" s="387"/>
      <c r="AH13" s="387"/>
      <c r="AI13" s="387"/>
      <c r="AJ13" s="387"/>
      <c r="AK13" s="387"/>
      <c r="AL13" s="387"/>
      <c r="AM13" s="387"/>
      <c r="AN13" s="387"/>
      <c r="AO13" s="387"/>
      <c r="AP13" s="387"/>
      <c r="AQ13" s="387"/>
      <c r="AR13" s="387"/>
      <c r="AS13" s="388"/>
      <c r="AT13" s="388"/>
      <c r="AU13" s="388"/>
      <c r="AV13" s="388"/>
      <c r="AW13" s="388"/>
      <c r="AX13" s="388"/>
      <c r="AY13" s="251"/>
      <c r="AZ13" s="251"/>
      <c r="BA13" s="251"/>
    </row>
    <row r="14" spans="1:53" s="93" customFormat="1" ht="15" customHeight="1" x14ac:dyDescent="0.2">
      <c r="A14" s="88"/>
      <c r="B14" s="292"/>
      <c r="C14" s="574"/>
      <c r="D14" s="574"/>
      <c r="E14" s="586" t="s">
        <v>144</v>
      </c>
      <c r="Y14" s="292"/>
    </row>
    <row r="15" spans="1:53" s="93" customFormat="1" x14ac:dyDescent="0.2">
      <c r="A15" s="88"/>
      <c r="B15" s="292"/>
      <c r="C15" s="574"/>
      <c r="D15" s="574"/>
      <c r="E15" s="586"/>
    </row>
    <row r="16" spans="1:53" ht="21" customHeight="1" x14ac:dyDescent="0.25">
      <c r="A16" s="88"/>
      <c r="B16" s="292"/>
      <c r="H16" s="372"/>
      <c r="I16" s="93"/>
      <c r="J16" s="93"/>
      <c r="K16" s="93"/>
      <c r="L16" s="93"/>
      <c r="M16" s="93"/>
      <c r="N16" s="93"/>
      <c r="O16" s="93"/>
      <c r="P16" s="93"/>
      <c r="Q16" s="93"/>
      <c r="R16" s="93"/>
      <c r="S16" s="93"/>
      <c r="T16" s="93"/>
      <c r="U16" s="93"/>
      <c r="V16" s="93"/>
      <c r="W16" s="93"/>
      <c r="X16" s="93"/>
      <c r="Y16" s="93"/>
      <c r="Z16" s="93"/>
      <c r="AA16" s="93"/>
      <c r="AB16" s="93"/>
      <c r="AC16" s="93"/>
      <c r="AD16" s="93"/>
      <c r="AX16" s="448"/>
    </row>
    <row r="17" spans="1:53" ht="13.5" customHeight="1" x14ac:dyDescent="0.25">
      <c r="A17" s="88"/>
      <c r="B17" s="292"/>
      <c r="C17" s="93"/>
      <c r="D17" s="93"/>
      <c r="H17" s="578" t="s">
        <v>216</v>
      </c>
      <c r="I17" s="578"/>
      <c r="J17" s="578"/>
      <c r="K17" s="578"/>
      <c r="L17" s="578"/>
      <c r="M17" s="578"/>
      <c r="N17" s="578"/>
      <c r="O17" s="578"/>
      <c r="P17" s="578"/>
      <c r="Q17" s="578"/>
      <c r="R17" s="578"/>
      <c r="S17" s="578"/>
      <c r="T17" s="578"/>
      <c r="U17" s="578"/>
      <c r="V17" s="578"/>
      <c r="W17" s="578"/>
      <c r="X17" s="578"/>
      <c r="Y17" s="578"/>
      <c r="Z17" s="578"/>
      <c r="AA17" s="578"/>
      <c r="AB17" s="578"/>
      <c r="AC17" s="578"/>
      <c r="AD17" s="578"/>
      <c r="AX17" s="448"/>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93"/>
      <c r="Z18" s="93"/>
      <c r="AA18" s="93"/>
      <c r="AB18" s="93"/>
      <c r="AC18" s="93"/>
      <c r="AD18" s="93"/>
    </row>
    <row r="19" spans="1:53" ht="14.45" customHeight="1" x14ac:dyDescent="0.25">
      <c r="A19" s="88"/>
      <c r="B19" s="292"/>
      <c r="H19" s="582" t="s">
        <v>217</v>
      </c>
      <c r="I19" s="389" t="s">
        <v>133</v>
      </c>
      <c r="J19" s="389" t="s">
        <v>133</v>
      </c>
      <c r="K19" s="389" t="s">
        <v>133</v>
      </c>
      <c r="L19" s="389" t="s">
        <v>133</v>
      </c>
      <c r="M19" s="389" t="s">
        <v>133</v>
      </c>
      <c r="N19" s="389" t="s">
        <v>133</v>
      </c>
      <c r="O19" s="389" t="s">
        <v>133</v>
      </c>
      <c r="P19" s="389" t="s">
        <v>133</v>
      </c>
      <c r="Q19" s="389" t="s">
        <v>133</v>
      </c>
      <c r="R19" s="389" t="s">
        <v>133</v>
      </c>
      <c r="S19" s="389" t="s">
        <v>133</v>
      </c>
      <c r="T19" s="389" t="s">
        <v>133</v>
      </c>
      <c r="U19" s="389" t="s">
        <v>133</v>
      </c>
      <c r="V19" s="389" t="s">
        <v>133</v>
      </c>
      <c r="W19" s="389" t="s">
        <v>133</v>
      </c>
      <c r="X19" s="389" t="s">
        <v>133</v>
      </c>
      <c r="Y19" s="389" t="s">
        <v>133</v>
      </c>
      <c r="Z19" s="389" t="s">
        <v>133</v>
      </c>
      <c r="AA19" s="389" t="s">
        <v>133</v>
      </c>
      <c r="AB19" s="584" t="s">
        <v>7</v>
      </c>
      <c r="AC19" s="584"/>
      <c r="AD19" s="584"/>
      <c r="AW19" s="372" t="s">
        <v>625</v>
      </c>
    </row>
    <row r="20" spans="1:53" ht="15" customHeight="1" x14ac:dyDescent="0.2">
      <c r="A20" s="88"/>
      <c r="B20" s="292"/>
      <c r="H20" s="582"/>
      <c r="I20" s="185">
        <v>2005</v>
      </c>
      <c r="J20" s="185">
        <v>2006</v>
      </c>
      <c r="K20" s="185">
        <v>2007</v>
      </c>
      <c r="L20" s="185">
        <v>2008</v>
      </c>
      <c r="M20" s="185">
        <v>2009</v>
      </c>
      <c r="N20" s="185">
        <v>2010</v>
      </c>
      <c r="O20" s="185">
        <v>2011</v>
      </c>
      <c r="P20" s="185">
        <v>2012</v>
      </c>
      <c r="Q20" s="185">
        <v>2013</v>
      </c>
      <c r="R20" s="185">
        <v>2014</v>
      </c>
      <c r="S20" s="185">
        <v>2015</v>
      </c>
      <c r="T20" s="185">
        <v>2016</v>
      </c>
      <c r="U20" s="185">
        <v>2017</v>
      </c>
      <c r="V20" s="185">
        <v>2018</v>
      </c>
      <c r="W20" s="185">
        <v>2019</v>
      </c>
      <c r="X20" s="185">
        <v>2020</v>
      </c>
      <c r="Y20" s="185">
        <v>2021</v>
      </c>
      <c r="Z20" s="285">
        <v>2022</v>
      </c>
      <c r="AA20" s="285">
        <v>2023</v>
      </c>
      <c r="AB20" s="185">
        <v>2024</v>
      </c>
      <c r="AC20" s="185">
        <v>2025</v>
      </c>
      <c r="AD20" s="185">
        <v>2026</v>
      </c>
    </row>
    <row r="21" spans="1:53" ht="15" customHeight="1" x14ac:dyDescent="0.2">
      <c r="A21" s="88" t="s">
        <v>517</v>
      </c>
      <c r="B21" s="292"/>
      <c r="H21" s="375" t="s">
        <v>390</v>
      </c>
      <c r="I21" s="376" t="e" cm="1">
        <f t="array" ref="I21">_xlfn.XLOOKUP(1, ('0. GUIDELINES'!$E$3='[1]input-labor'!$A:$A) * (I$20='[1]input-labor'!$B:$B) * ($A21='[1]input-labor'!$C:$C) * ('2.1 LABOR STRUCTURE'!$E$4='[1]input-labor'!$G:$G), '[1]input-labor'!$D:$D)</f>
        <v>#N/A</v>
      </c>
      <c r="J21" s="376" t="e" cm="1">
        <f t="array" ref="J21">_xlfn.XLOOKUP(1, ('0. GUIDELINES'!$E$3='[1]input-labor'!$A:$A) * (J$20='[1]input-labor'!$B:$B) * ($A21='[1]input-labor'!$C:$C) * ('2.1 LABOR STRUCTURE'!$E$4='[1]input-labor'!$G:$G), '[1]input-labor'!$D:$D)</f>
        <v>#N/A</v>
      </c>
      <c r="K21" s="376" t="e" cm="1">
        <f t="array" ref="K21">_xlfn.XLOOKUP(1, ('0. GUIDELINES'!$E$3='[1]input-labor'!$A:$A) * (K$20='[1]input-labor'!$B:$B) * ($A21='[1]input-labor'!$C:$C) * ('2.1 LABOR STRUCTURE'!$E$4='[1]input-labor'!$G:$G), '[1]input-labor'!$D:$D)</f>
        <v>#N/A</v>
      </c>
      <c r="L21" s="376" t="e" cm="1">
        <f t="array" ref="L21">_xlfn.XLOOKUP(1, ('0. GUIDELINES'!$E$3='[1]input-labor'!$A:$A) * (L$20='[1]input-labor'!$B:$B) * ($A21='[1]input-labor'!$C:$C) * ('2.1 LABOR STRUCTURE'!$E$4='[1]input-labor'!$G:$G), '[1]input-labor'!$D:$D)</f>
        <v>#N/A</v>
      </c>
      <c r="M21" s="376" t="e" cm="1">
        <f t="array" ref="M21">_xlfn.XLOOKUP(1, ('0. GUIDELINES'!$E$3='[1]input-labor'!$A:$A) * (M$20='[1]input-labor'!$B:$B) * ($A21='[1]input-labor'!$C:$C) * ('2.1 LABOR STRUCTURE'!$E$4='[1]input-labor'!$G:$G), '[1]input-labor'!$D:$D)</f>
        <v>#N/A</v>
      </c>
      <c r="N21" s="376" t="e" cm="1">
        <f t="array" ref="N21">_xlfn.XLOOKUP(1, ('0. GUIDELINES'!$E$3='[1]input-labor'!$A:$A) * (N$20='[1]input-labor'!$B:$B) * ($A21='[1]input-labor'!$C:$C) * ('2.1 LABOR STRUCTURE'!$E$4='[1]input-labor'!$G:$G), '[1]input-labor'!$D:$D)</f>
        <v>#N/A</v>
      </c>
      <c r="O21" s="376" t="e" cm="1">
        <f t="array" ref="O21">_xlfn.XLOOKUP(1, ('0. GUIDELINES'!$E$3='[1]input-labor'!$A:$A) * (O$20='[1]input-labor'!$B:$B) * ($A21='[1]input-labor'!$C:$C) * ('2.1 LABOR STRUCTURE'!$E$4='[1]input-labor'!$G:$G), '[1]input-labor'!$D:$D)</f>
        <v>#N/A</v>
      </c>
      <c r="P21" s="376" t="e" cm="1">
        <f t="array" ref="P21">_xlfn.XLOOKUP(1, ('0. GUIDELINES'!$E$3='[1]input-labor'!$A:$A) * (P$20='[1]input-labor'!$B:$B) * ($A21='[1]input-labor'!$C:$C) * ('2.1 LABOR STRUCTURE'!$E$4='[1]input-labor'!$G:$G), '[1]input-labor'!$D:$D)</f>
        <v>#N/A</v>
      </c>
      <c r="Q21" s="376" t="e" cm="1">
        <f t="array" ref="Q21">_xlfn.XLOOKUP(1, ('0. GUIDELINES'!$E$3='[1]input-labor'!$A:$A) * (Q$20='[1]input-labor'!$B:$B) * ($A21='[1]input-labor'!$C:$C) * ('2.1 LABOR STRUCTURE'!$E$4='[1]input-labor'!$G:$G), '[1]input-labor'!$D:$D)</f>
        <v>#N/A</v>
      </c>
      <c r="R21" s="376" t="e" cm="1">
        <f t="array" ref="R21">_xlfn.XLOOKUP(1, ('0. GUIDELINES'!$E$3='[1]input-labor'!$A:$A) * (R$20='[1]input-labor'!$B:$B) * ($A21='[1]input-labor'!$C:$C) * ('2.1 LABOR STRUCTURE'!$E$4='[1]input-labor'!$G:$G), '[1]input-labor'!$D:$D)</f>
        <v>#N/A</v>
      </c>
      <c r="S21" s="376" t="e" cm="1">
        <f t="array" ref="S21">_xlfn.XLOOKUP(1, ('0. GUIDELINES'!$E$3='[1]input-labor'!$A:$A) * (S$20='[1]input-labor'!$B:$B) * ($A21='[1]input-labor'!$C:$C) * ('2.1 LABOR STRUCTURE'!$E$4='[1]input-labor'!$G:$G), '[1]input-labor'!$D:$D)</f>
        <v>#N/A</v>
      </c>
      <c r="T21" s="376" cm="1">
        <f t="array" ref="T21">_xlfn.XLOOKUP(1, ('0. GUIDELINES'!$E$3='[1]input-labor'!$A:$A) * (T$20='[1]input-labor'!$B:$B) * ($A21='[1]input-labor'!$C:$C) * ('2.1 LABOR STRUCTURE'!$E$4='[1]input-labor'!$G:$G), '[1]input-labor'!$D:$D)</f>
        <v>179.61456298828125</v>
      </c>
      <c r="U21" s="376" t="e" cm="1">
        <f t="array" ref="U21">_xlfn.XLOOKUP(1, ('0. GUIDELINES'!$E$3='[1]input-labor'!$A:$A) * (U$20='[1]input-labor'!$B:$B) * ($A21='[1]input-labor'!$C:$C) * ('2.1 LABOR STRUCTURE'!$E$4='[1]input-labor'!$G:$G), '[1]input-labor'!$D:$D)</f>
        <v>#N/A</v>
      </c>
      <c r="V21" s="376" t="e" cm="1">
        <f t="array" ref="V21">_xlfn.XLOOKUP(1, ('0. GUIDELINES'!$E$3='[1]input-labor'!$A:$A) * (V$20='[1]input-labor'!$B:$B) * ($A21='[1]input-labor'!$C:$C) * ('2.1 LABOR STRUCTURE'!$E$4='[1]input-labor'!$G:$G), '[1]input-labor'!$D:$D)</f>
        <v>#N/A</v>
      </c>
      <c r="W21" s="376" t="e" cm="1">
        <f t="array" ref="W21">_xlfn.XLOOKUP(1, ('0. GUIDELINES'!$E$3='[1]input-labor'!$A:$A) * (W$20='[1]input-labor'!$B:$B) * ($A21='[1]input-labor'!$C:$C) * ('2.1 LABOR STRUCTURE'!$E$4='[1]input-labor'!$G:$G), '[1]input-labor'!$D:$D)</f>
        <v>#N/A</v>
      </c>
      <c r="X21" s="376" t="e" cm="1">
        <f t="array" ref="X21">_xlfn.XLOOKUP(1, ('0. GUIDELINES'!$E$3='[1]input-labor'!$A:$A) * (X$20='[1]input-labor'!$B:$B) * ($A21='[1]input-labor'!$C:$C) * ('2.1 LABOR STRUCTURE'!$E$4='[1]input-labor'!$G:$G), '[1]input-labor'!$D:$D)</f>
        <v>#N/A</v>
      </c>
      <c r="Y21" s="376" t="e" cm="1">
        <f t="array" ref="Y21">_xlfn.XLOOKUP(1, ('0. GUIDELINES'!$E$3='[1]input-labor'!$A:$A) * (Y$20='[1]input-labor'!$B:$B) * ($A21='[1]input-labor'!$C:$C) * ('2.1 LABOR STRUCTURE'!$E$4='[1]input-labor'!$G:$G), '[1]input-labor'!$D:$D)</f>
        <v>#N/A</v>
      </c>
      <c r="Z21" s="376" cm="1">
        <f t="array" ref="Z21">_xlfn.XLOOKUP(1, ('0. GUIDELINES'!$E$3='[1]input-labor'!$A:$A) * (Z$20='[1]input-labor'!$B:$B) * ($A21='[1]input-labor'!$C:$C) * ('2.1 LABOR STRUCTURE'!$E$4='[1]input-labor'!$G:$G), '[1]input-labor'!$D:$D)</f>
        <v>293.2978515625</v>
      </c>
      <c r="AA21" s="183">
        <f>+Z21*(1+(AA10*(ELASTICITY!K31))/100)</f>
        <v>272.34867404812741</v>
      </c>
      <c r="AB21" s="183">
        <f>+AA21*(1+(AB10*(ELASTICITY!L31))/100)</f>
        <v>268.56189039061752</v>
      </c>
      <c r="AC21" s="183">
        <f>+AB21*(1+(AC10*(ELASTICITY!M31))/100)</f>
        <v>269.06688834826809</v>
      </c>
      <c r="AD21" s="183">
        <f>+AC21*(1+(AD10*(ELASTICITY!N31))/100)</f>
        <v>274.14241769966162</v>
      </c>
      <c r="AF21" s="93" t="s">
        <v>390</v>
      </c>
      <c r="AG21" s="93">
        <f t="shared" ref="AG21:AV21" si="22">AB21/AA21-1</f>
        <v>-1.3904175119430651E-2</v>
      </c>
      <c r="AH21" s="93">
        <f t="shared" si="22"/>
        <v>1.8803783251453154E-3</v>
      </c>
      <c r="AI21" s="93">
        <f t="shared" si="22"/>
        <v>1.886344835126641E-2</v>
      </c>
      <c r="AJ21" s="93">
        <f t="shared" si="22"/>
        <v>-1</v>
      </c>
      <c r="AK21" s="93" t="e">
        <f>#REF!/AE21-1</f>
        <v>#REF!</v>
      </c>
      <c r="AL21" s="93" t="e">
        <f>AG21/#REF!-1</f>
        <v>#REF!</v>
      </c>
      <c r="AM21" s="93">
        <f t="shared" si="22"/>
        <v>-1.1352383948701528</v>
      </c>
      <c r="AN21" s="93">
        <f t="shared" si="22"/>
        <v>9.0317303699023679</v>
      </c>
      <c r="AO21" s="93">
        <f t="shared" si="22"/>
        <v>-54.012576564924004</v>
      </c>
      <c r="AP21" s="93" t="e">
        <f t="shared" si="22"/>
        <v>#REF!</v>
      </c>
      <c r="AR21" s="93" t="e">
        <f t="shared" si="22"/>
        <v>#REF!</v>
      </c>
      <c r="AS21" s="93">
        <f t="shared" si="22"/>
        <v>-8.9558006588875152</v>
      </c>
      <c r="AT21" s="93">
        <f t="shared" si="22"/>
        <v>-6.9803132238000893</v>
      </c>
      <c r="AU21" s="93" t="e">
        <f t="shared" si="22"/>
        <v>#REF!</v>
      </c>
      <c r="AV21" s="93" t="e">
        <f t="shared" si="22"/>
        <v>#REF!</v>
      </c>
      <c r="AX21" s="506"/>
      <c r="AY21" s="506"/>
      <c r="AZ21" s="506"/>
      <c r="BA21" s="506"/>
    </row>
    <row r="22" spans="1:53" ht="12.75" customHeight="1" x14ac:dyDescent="0.2">
      <c r="A22" s="88" t="s">
        <v>518</v>
      </c>
      <c r="B22" s="292"/>
      <c r="H22" s="375" t="s">
        <v>389</v>
      </c>
      <c r="I22" s="376" t="e" cm="1">
        <f t="array" ref="I22">_xlfn.XLOOKUP(1, ('0. GUIDELINES'!$E$3='[1]input-labor'!$A:$A) * (I$20='[1]input-labor'!$B:$B) * ($A22='[1]input-labor'!$C:$C)  * ('2.1 LABOR STRUCTURE'!$E$4='[1]input-labor'!$G:$G), '[1]input-labor'!$D:$D)</f>
        <v>#N/A</v>
      </c>
      <c r="J22" s="376" t="e" cm="1">
        <f t="array" ref="J22">_xlfn.XLOOKUP(1, ('0. GUIDELINES'!$E$3='[1]input-labor'!$A:$A) * (J$20='[1]input-labor'!$B:$B) * ($A22='[1]input-labor'!$C:$C)  * ('2.1 LABOR STRUCTURE'!$E$4='[1]input-labor'!$G:$G), '[1]input-labor'!$D:$D)</f>
        <v>#N/A</v>
      </c>
      <c r="K22" s="376" t="e" cm="1">
        <f t="array" ref="K22">_xlfn.XLOOKUP(1, ('0. GUIDELINES'!$E$3='[1]input-labor'!$A:$A) * (K$20='[1]input-labor'!$B:$B) * ($A22='[1]input-labor'!$C:$C)  * ('2.1 LABOR STRUCTURE'!$E$4='[1]input-labor'!$G:$G), '[1]input-labor'!$D:$D)</f>
        <v>#N/A</v>
      </c>
      <c r="L22" s="376" t="e" cm="1">
        <f t="array" ref="L22">_xlfn.XLOOKUP(1, ('0. GUIDELINES'!$E$3='[1]input-labor'!$A:$A) * (L$20='[1]input-labor'!$B:$B) * ($A22='[1]input-labor'!$C:$C)  * ('2.1 LABOR STRUCTURE'!$E$4='[1]input-labor'!$G:$G), '[1]input-labor'!$D:$D)</f>
        <v>#N/A</v>
      </c>
      <c r="M22" s="376" t="e" cm="1">
        <f t="array" ref="M22">_xlfn.XLOOKUP(1, ('0. GUIDELINES'!$E$3='[1]input-labor'!$A:$A) * (M$20='[1]input-labor'!$B:$B) * ($A22='[1]input-labor'!$C:$C)  * ('2.1 LABOR STRUCTURE'!$E$4='[1]input-labor'!$G:$G), '[1]input-labor'!$D:$D)</f>
        <v>#N/A</v>
      </c>
      <c r="N22" s="376" t="e" cm="1">
        <f t="array" ref="N22">_xlfn.XLOOKUP(1, ('0. GUIDELINES'!$E$3='[1]input-labor'!$A:$A) * (N$20='[1]input-labor'!$B:$B) * ($A22='[1]input-labor'!$C:$C)  * ('2.1 LABOR STRUCTURE'!$E$4='[1]input-labor'!$G:$G), '[1]input-labor'!$D:$D)</f>
        <v>#N/A</v>
      </c>
      <c r="O22" s="376" t="e" cm="1">
        <f t="array" ref="O22">_xlfn.XLOOKUP(1, ('0. GUIDELINES'!$E$3='[1]input-labor'!$A:$A) * (O$20='[1]input-labor'!$B:$B) * ($A22='[1]input-labor'!$C:$C)  * ('2.1 LABOR STRUCTURE'!$E$4='[1]input-labor'!$G:$G), '[1]input-labor'!$D:$D)</f>
        <v>#N/A</v>
      </c>
      <c r="P22" s="376" t="e" cm="1">
        <f t="array" ref="P22">_xlfn.XLOOKUP(1, ('0. GUIDELINES'!$E$3='[1]input-labor'!$A:$A) * (P$20='[1]input-labor'!$B:$B) * ($A22='[1]input-labor'!$C:$C)  * ('2.1 LABOR STRUCTURE'!$E$4='[1]input-labor'!$G:$G), '[1]input-labor'!$D:$D)</f>
        <v>#N/A</v>
      </c>
      <c r="Q22" s="376" t="e" cm="1">
        <f t="array" ref="Q22">_xlfn.XLOOKUP(1, ('0. GUIDELINES'!$E$3='[1]input-labor'!$A:$A) * (Q$20='[1]input-labor'!$B:$B) * ($A22='[1]input-labor'!$C:$C)  * ('2.1 LABOR STRUCTURE'!$E$4='[1]input-labor'!$G:$G), '[1]input-labor'!$D:$D)</f>
        <v>#N/A</v>
      </c>
      <c r="R22" s="376" t="e" cm="1">
        <f t="array" ref="R22">_xlfn.XLOOKUP(1, ('0. GUIDELINES'!$E$3='[1]input-labor'!$A:$A) * (R$20='[1]input-labor'!$B:$B) * ($A22='[1]input-labor'!$C:$C)  * ('2.1 LABOR STRUCTURE'!$E$4='[1]input-labor'!$G:$G), '[1]input-labor'!$D:$D)</f>
        <v>#N/A</v>
      </c>
      <c r="S22" s="376" t="e" cm="1">
        <f t="array" ref="S22">_xlfn.XLOOKUP(1, ('0. GUIDELINES'!$E$3='[1]input-labor'!$A:$A) * (S$20='[1]input-labor'!$B:$B) * ($A22='[1]input-labor'!$C:$C)  * ('2.1 LABOR STRUCTURE'!$E$4='[1]input-labor'!$G:$G), '[1]input-labor'!$D:$D)</f>
        <v>#N/A</v>
      </c>
      <c r="T22" s="376" cm="1">
        <f t="array" ref="T22">_xlfn.XLOOKUP(1, ('0. GUIDELINES'!$E$3='[1]input-labor'!$A:$A) * (T$20='[1]input-labor'!$B:$B) * ($A22='[1]input-labor'!$C:$C)  * ('2.1 LABOR STRUCTURE'!$E$4='[1]input-labor'!$G:$G), '[1]input-labor'!$D:$D)</f>
        <v>211.47543334960938</v>
      </c>
      <c r="U22" s="376" t="e" cm="1">
        <f t="array" ref="U22">_xlfn.XLOOKUP(1, ('0. GUIDELINES'!$E$3='[1]input-labor'!$A:$A) * (U$20='[1]input-labor'!$B:$B) * ($A22='[1]input-labor'!$C:$C)  * ('2.1 LABOR STRUCTURE'!$E$4='[1]input-labor'!$G:$G), '[1]input-labor'!$D:$D)</f>
        <v>#N/A</v>
      </c>
      <c r="V22" s="376" t="e" cm="1">
        <f t="array" ref="V22">_xlfn.XLOOKUP(1, ('0. GUIDELINES'!$E$3='[1]input-labor'!$A:$A) * (V$20='[1]input-labor'!$B:$B) * ($A22='[1]input-labor'!$C:$C)  * ('2.1 LABOR STRUCTURE'!$E$4='[1]input-labor'!$G:$G), '[1]input-labor'!$D:$D)</f>
        <v>#N/A</v>
      </c>
      <c r="W22" s="376" t="e" cm="1">
        <f t="array" ref="W22">_xlfn.XLOOKUP(1, ('0. GUIDELINES'!$E$3='[1]input-labor'!$A:$A) * (W$20='[1]input-labor'!$B:$B) * ($A22='[1]input-labor'!$C:$C)  * ('2.1 LABOR STRUCTURE'!$E$4='[1]input-labor'!$G:$G), '[1]input-labor'!$D:$D)</f>
        <v>#N/A</v>
      </c>
      <c r="X22" s="376" t="e" cm="1">
        <f t="array" ref="X22">_xlfn.XLOOKUP(1, ('0. GUIDELINES'!$E$3='[1]input-labor'!$A:$A) * (X$20='[1]input-labor'!$B:$B) * ($A22='[1]input-labor'!$C:$C)  * ('2.1 LABOR STRUCTURE'!$E$4='[1]input-labor'!$G:$G), '[1]input-labor'!$D:$D)</f>
        <v>#N/A</v>
      </c>
      <c r="Y22" s="376" t="e" cm="1">
        <f t="array" ref="Y22">_xlfn.XLOOKUP(1, ('0. GUIDELINES'!$E$3='[1]input-labor'!$A:$A) * (Y$20='[1]input-labor'!$B:$B) * ($A22='[1]input-labor'!$C:$C)  * ('2.1 LABOR STRUCTURE'!$E$4='[1]input-labor'!$G:$G), '[1]input-labor'!$D:$D)</f>
        <v>#N/A</v>
      </c>
      <c r="Z22" s="376" cm="1">
        <f t="array" ref="Z22">_xlfn.XLOOKUP(1, ('0. GUIDELINES'!$E$3='[1]input-labor'!$A:$A) * (Z$20='[1]input-labor'!$B:$B) * ($A22='[1]input-labor'!$C:$C)  * ('2.1 LABOR STRUCTURE'!$E$4='[1]input-labor'!$G:$G), '[1]input-labor'!$D:$D)</f>
        <v>395.90869140625</v>
      </c>
      <c r="AA22" s="183">
        <f>+Z22*(1+(AA10*(ELASTICITY!K32))/100)</f>
        <v>403.09808695476227</v>
      </c>
      <c r="AB22" s="183">
        <f>+AA22*(1+(AB10*(ELASTICITY!L32))/100)</f>
        <v>404.96540070159961</v>
      </c>
      <c r="AC22" s="183">
        <f>+AB22*(1+(AC10*(ELASTICITY!M32))/100)</f>
        <v>407.24986518733886</v>
      </c>
      <c r="AD22" s="183">
        <f>+AC22*(1+(AD10*(ELASTICITY!N32))/100)</f>
        <v>410.13066648659691</v>
      </c>
      <c r="AF22" s="93" t="s">
        <v>389</v>
      </c>
      <c r="AK22" s="453"/>
      <c r="AL22" s="453"/>
      <c r="AM22" s="453"/>
      <c r="AN22" s="453"/>
      <c r="AW22" s="93">
        <f>Z22/Z21</f>
        <v>1.3498519995871305</v>
      </c>
      <c r="AX22" s="93">
        <f t="shared" ref="AX22:BA22" si="23">AA22/AA21</f>
        <v>1.4800809600546461</v>
      </c>
      <c r="AY22" s="93">
        <f t="shared" si="23"/>
        <v>1.5079034486709417</v>
      </c>
      <c r="AZ22" s="93">
        <f t="shared" si="23"/>
        <v>1.5135636632487195</v>
      </c>
      <c r="BA22" s="93">
        <f t="shared" si="23"/>
        <v>1.4960496442980891</v>
      </c>
    </row>
    <row r="23" spans="1:53" ht="15" customHeight="1" x14ac:dyDescent="0.2">
      <c r="A23" s="88" t="s">
        <v>519</v>
      </c>
      <c r="B23" s="292"/>
      <c r="H23" s="375" t="s">
        <v>616</v>
      </c>
      <c r="I23" s="376" t="e" cm="1">
        <f t="array" ref="I23">_xlfn.XLOOKUP(1, ('0. GUIDELINES'!$E$3='[1]input-labor'!$A:$A) * (I$20='[1]input-labor'!$B:$B) * ($A23='[1]input-labor'!$C:$C)  * ('2.1 LABOR STRUCTURE'!$E$4='[1]input-labor'!$G:$G), '[1]input-labor'!$D:$D)</f>
        <v>#N/A</v>
      </c>
      <c r="J23" s="376" t="e" cm="1">
        <f t="array" ref="J23">_xlfn.XLOOKUP(1, ('0. GUIDELINES'!$E$3='[1]input-labor'!$A:$A) * (J$20='[1]input-labor'!$B:$B) * ($A23='[1]input-labor'!$C:$C)  * ('2.1 LABOR STRUCTURE'!$E$4='[1]input-labor'!$G:$G), '[1]input-labor'!$D:$D)</f>
        <v>#N/A</v>
      </c>
      <c r="K23" s="376" t="e" cm="1">
        <f t="array" ref="K23">_xlfn.XLOOKUP(1, ('0. GUIDELINES'!$E$3='[1]input-labor'!$A:$A) * (K$20='[1]input-labor'!$B:$B) * ($A23='[1]input-labor'!$C:$C)  * ('2.1 LABOR STRUCTURE'!$E$4='[1]input-labor'!$G:$G), '[1]input-labor'!$D:$D)</f>
        <v>#N/A</v>
      </c>
      <c r="L23" s="376" t="e" cm="1">
        <f t="array" ref="L23">_xlfn.XLOOKUP(1, ('0. GUIDELINES'!$E$3='[1]input-labor'!$A:$A) * (L$20='[1]input-labor'!$B:$B) * ($A23='[1]input-labor'!$C:$C)  * ('2.1 LABOR STRUCTURE'!$E$4='[1]input-labor'!$G:$G), '[1]input-labor'!$D:$D)</f>
        <v>#N/A</v>
      </c>
      <c r="M23" s="376" t="e" cm="1">
        <f t="array" ref="M23">_xlfn.XLOOKUP(1, ('0. GUIDELINES'!$E$3='[1]input-labor'!$A:$A) * (M$20='[1]input-labor'!$B:$B) * ($A23='[1]input-labor'!$C:$C)  * ('2.1 LABOR STRUCTURE'!$E$4='[1]input-labor'!$G:$G), '[1]input-labor'!$D:$D)</f>
        <v>#N/A</v>
      </c>
      <c r="N23" s="376" t="e" cm="1">
        <f t="array" ref="N23">_xlfn.XLOOKUP(1, ('0. GUIDELINES'!$E$3='[1]input-labor'!$A:$A) * (N$20='[1]input-labor'!$B:$B) * ($A23='[1]input-labor'!$C:$C)  * ('2.1 LABOR STRUCTURE'!$E$4='[1]input-labor'!$G:$G), '[1]input-labor'!$D:$D)</f>
        <v>#N/A</v>
      </c>
      <c r="O23" s="376" t="e" cm="1">
        <f t="array" ref="O23">_xlfn.XLOOKUP(1, ('0. GUIDELINES'!$E$3='[1]input-labor'!$A:$A) * (O$20='[1]input-labor'!$B:$B) * ($A23='[1]input-labor'!$C:$C)  * ('2.1 LABOR STRUCTURE'!$E$4='[1]input-labor'!$G:$G), '[1]input-labor'!$D:$D)</f>
        <v>#N/A</v>
      </c>
      <c r="P23" s="376" t="e" cm="1">
        <f t="array" ref="P23">_xlfn.XLOOKUP(1, ('0. GUIDELINES'!$E$3='[1]input-labor'!$A:$A) * (P$20='[1]input-labor'!$B:$B) * ($A23='[1]input-labor'!$C:$C)  * ('2.1 LABOR STRUCTURE'!$E$4='[1]input-labor'!$G:$G), '[1]input-labor'!$D:$D)</f>
        <v>#N/A</v>
      </c>
      <c r="Q23" s="376" t="e" cm="1">
        <f t="array" ref="Q23">_xlfn.XLOOKUP(1, ('0. GUIDELINES'!$E$3='[1]input-labor'!$A:$A) * (Q$20='[1]input-labor'!$B:$B) * ($A23='[1]input-labor'!$C:$C)  * ('2.1 LABOR STRUCTURE'!$E$4='[1]input-labor'!$G:$G), '[1]input-labor'!$D:$D)</f>
        <v>#N/A</v>
      </c>
      <c r="R23" s="376" t="e" cm="1">
        <f t="array" ref="R23">_xlfn.XLOOKUP(1, ('0. GUIDELINES'!$E$3='[1]input-labor'!$A:$A) * (R$20='[1]input-labor'!$B:$B) * ($A23='[1]input-labor'!$C:$C)  * ('2.1 LABOR STRUCTURE'!$E$4='[1]input-labor'!$G:$G), '[1]input-labor'!$D:$D)</f>
        <v>#N/A</v>
      </c>
      <c r="S23" s="376" t="e" cm="1">
        <f t="array" ref="S23">_xlfn.XLOOKUP(1, ('0. GUIDELINES'!$E$3='[1]input-labor'!$A:$A) * (S$20='[1]input-labor'!$B:$B) * ($A23='[1]input-labor'!$C:$C)  * ('2.1 LABOR STRUCTURE'!$E$4='[1]input-labor'!$G:$G), '[1]input-labor'!$D:$D)</f>
        <v>#N/A</v>
      </c>
      <c r="T23" s="376" cm="1">
        <f t="array" ref="T23">_xlfn.XLOOKUP(1, ('0. GUIDELINES'!$E$3='[1]input-labor'!$A:$A) * (T$20='[1]input-labor'!$B:$B) * ($A23='[1]input-labor'!$C:$C)  * ('2.1 LABOR STRUCTURE'!$E$4='[1]input-labor'!$G:$G), '[1]input-labor'!$D:$D)</f>
        <v>287.7081298828125</v>
      </c>
      <c r="U23" s="376" t="e" cm="1">
        <f t="array" ref="U23">_xlfn.XLOOKUP(1, ('0. GUIDELINES'!$E$3='[1]input-labor'!$A:$A) * (U$20='[1]input-labor'!$B:$B) * ($A23='[1]input-labor'!$C:$C)  * ('2.1 LABOR STRUCTURE'!$E$4='[1]input-labor'!$G:$G), '[1]input-labor'!$D:$D)</f>
        <v>#N/A</v>
      </c>
      <c r="V23" s="376" t="e" cm="1">
        <f t="array" ref="V23">_xlfn.XLOOKUP(1, ('0. GUIDELINES'!$E$3='[1]input-labor'!$A:$A) * (V$20='[1]input-labor'!$B:$B) * ($A23='[1]input-labor'!$C:$C)  * ('2.1 LABOR STRUCTURE'!$E$4='[1]input-labor'!$G:$G), '[1]input-labor'!$D:$D)</f>
        <v>#N/A</v>
      </c>
      <c r="W23" s="376" t="e" cm="1">
        <f t="array" ref="W23">_xlfn.XLOOKUP(1, ('0. GUIDELINES'!$E$3='[1]input-labor'!$A:$A) * (W$20='[1]input-labor'!$B:$B) * ($A23='[1]input-labor'!$C:$C)  * ('2.1 LABOR STRUCTURE'!$E$4='[1]input-labor'!$G:$G), '[1]input-labor'!$D:$D)</f>
        <v>#N/A</v>
      </c>
      <c r="X23" s="376" t="e" cm="1">
        <f t="array" ref="X23">_xlfn.XLOOKUP(1, ('0. GUIDELINES'!$E$3='[1]input-labor'!$A:$A) * (X$20='[1]input-labor'!$B:$B) * ($A23='[1]input-labor'!$C:$C)  * ('2.1 LABOR STRUCTURE'!$E$4='[1]input-labor'!$G:$G), '[1]input-labor'!$D:$D)</f>
        <v>#N/A</v>
      </c>
      <c r="Y23" s="376" t="e" cm="1">
        <f t="array" ref="Y23">_xlfn.XLOOKUP(1, ('0. GUIDELINES'!$E$3='[1]input-labor'!$A:$A) * (Y$20='[1]input-labor'!$B:$B) * ($A23='[1]input-labor'!$C:$C)  * ('2.1 LABOR STRUCTURE'!$E$4='[1]input-labor'!$G:$G), '[1]input-labor'!$D:$D)</f>
        <v>#N/A</v>
      </c>
      <c r="Z23" s="376" cm="1">
        <f t="array" ref="Z23">_xlfn.XLOOKUP(1, ('0. GUIDELINES'!$E$3='[1]input-labor'!$A:$A) * (Z$20='[1]input-labor'!$B:$B) * ($A23='[1]input-labor'!$C:$C)  * ('2.1 LABOR STRUCTURE'!$E$4='[1]input-labor'!$G:$G), '[1]input-labor'!$D:$D)</f>
        <v>614.328125</v>
      </c>
      <c r="AA23" s="183">
        <f>+Z23*(1+(AA11*(ELASTICITY!K33))/100)</f>
        <v>585.95098709175397</v>
      </c>
      <c r="AB23" s="183">
        <f>+AA23*(1+(AB11*(ELASTICITY!L33))/100)</f>
        <v>572.46496160000243</v>
      </c>
      <c r="AC23" s="183">
        <f>+AB23*(1+(AC11*(ELASTICITY!M33))/100)</f>
        <v>574.99723029893744</v>
      </c>
      <c r="AD23" s="183">
        <f>+AC23*(1+(AD11*(ELASTICITY!N33))/100)</f>
        <v>582.60832589272218</v>
      </c>
      <c r="AF23" s="93" t="s">
        <v>616</v>
      </c>
    </row>
    <row r="24" spans="1:53" ht="15" customHeight="1" x14ac:dyDescent="0.2">
      <c r="A24" s="88" t="s">
        <v>520</v>
      </c>
      <c r="B24" s="292"/>
      <c r="H24" s="375" t="s">
        <v>617</v>
      </c>
      <c r="I24" s="376" t="e" cm="1">
        <f t="array" ref="I24">_xlfn.XLOOKUP(1, ('0. GUIDELINES'!$E$3='[1]input-labor'!$A:$A) * (I$20='[1]input-labor'!$B:$B) * ($A24='[1]input-labor'!$C:$C)  * ('2.1 LABOR STRUCTURE'!$E$4='[1]input-labor'!$G:$G), '[1]input-labor'!$D:$D)</f>
        <v>#N/A</v>
      </c>
      <c r="J24" s="376" t="e" cm="1">
        <f t="array" ref="J24">_xlfn.XLOOKUP(1, ('0. GUIDELINES'!$E$3='[1]input-labor'!$A:$A) * (J$20='[1]input-labor'!$B:$B) * ($A24='[1]input-labor'!$C:$C)  * ('2.1 LABOR STRUCTURE'!$E$4='[1]input-labor'!$G:$G), '[1]input-labor'!$D:$D)</f>
        <v>#N/A</v>
      </c>
      <c r="K24" s="376" t="e" cm="1">
        <f t="array" ref="K24">_xlfn.XLOOKUP(1, ('0. GUIDELINES'!$E$3='[1]input-labor'!$A:$A) * (K$20='[1]input-labor'!$B:$B) * ($A24='[1]input-labor'!$C:$C)  * ('2.1 LABOR STRUCTURE'!$E$4='[1]input-labor'!$G:$G), '[1]input-labor'!$D:$D)</f>
        <v>#N/A</v>
      </c>
      <c r="L24" s="376" t="e" cm="1">
        <f t="array" ref="L24">_xlfn.XLOOKUP(1, ('0. GUIDELINES'!$E$3='[1]input-labor'!$A:$A) * (L$20='[1]input-labor'!$B:$B) * ($A24='[1]input-labor'!$C:$C)  * ('2.1 LABOR STRUCTURE'!$E$4='[1]input-labor'!$G:$G), '[1]input-labor'!$D:$D)</f>
        <v>#N/A</v>
      </c>
      <c r="M24" s="376" t="e" cm="1">
        <f t="array" ref="M24">_xlfn.XLOOKUP(1, ('0. GUIDELINES'!$E$3='[1]input-labor'!$A:$A) * (M$20='[1]input-labor'!$B:$B) * ($A24='[1]input-labor'!$C:$C)  * ('2.1 LABOR STRUCTURE'!$E$4='[1]input-labor'!$G:$G), '[1]input-labor'!$D:$D)</f>
        <v>#N/A</v>
      </c>
      <c r="N24" s="376" t="e" cm="1">
        <f t="array" ref="N24">_xlfn.XLOOKUP(1, ('0. GUIDELINES'!$E$3='[1]input-labor'!$A:$A) * (N$20='[1]input-labor'!$B:$B) * ($A24='[1]input-labor'!$C:$C)  * ('2.1 LABOR STRUCTURE'!$E$4='[1]input-labor'!$G:$G), '[1]input-labor'!$D:$D)</f>
        <v>#N/A</v>
      </c>
      <c r="O24" s="376" t="e" cm="1">
        <f t="array" ref="O24">_xlfn.XLOOKUP(1, ('0. GUIDELINES'!$E$3='[1]input-labor'!$A:$A) * (O$20='[1]input-labor'!$B:$B) * ($A24='[1]input-labor'!$C:$C)  * ('2.1 LABOR STRUCTURE'!$E$4='[1]input-labor'!$G:$G), '[1]input-labor'!$D:$D)</f>
        <v>#N/A</v>
      </c>
      <c r="P24" s="376" t="e" cm="1">
        <f t="array" ref="P24">_xlfn.XLOOKUP(1, ('0. GUIDELINES'!$E$3='[1]input-labor'!$A:$A) * (P$20='[1]input-labor'!$B:$B) * ($A24='[1]input-labor'!$C:$C)  * ('2.1 LABOR STRUCTURE'!$E$4='[1]input-labor'!$G:$G), '[1]input-labor'!$D:$D)</f>
        <v>#N/A</v>
      </c>
      <c r="Q24" s="376" t="e" cm="1">
        <f t="array" ref="Q24">_xlfn.XLOOKUP(1, ('0. GUIDELINES'!$E$3='[1]input-labor'!$A:$A) * (Q$20='[1]input-labor'!$B:$B) * ($A24='[1]input-labor'!$C:$C)  * ('2.1 LABOR STRUCTURE'!$E$4='[1]input-labor'!$G:$G), '[1]input-labor'!$D:$D)</f>
        <v>#N/A</v>
      </c>
      <c r="R24" s="376" t="e" cm="1">
        <f t="array" ref="R24">_xlfn.XLOOKUP(1, ('0. GUIDELINES'!$E$3='[1]input-labor'!$A:$A) * (R$20='[1]input-labor'!$B:$B) * ($A24='[1]input-labor'!$C:$C)  * ('2.1 LABOR STRUCTURE'!$E$4='[1]input-labor'!$G:$G), '[1]input-labor'!$D:$D)</f>
        <v>#N/A</v>
      </c>
      <c r="S24" s="376" t="e" cm="1">
        <f t="array" ref="S24">_xlfn.XLOOKUP(1, ('0. GUIDELINES'!$E$3='[1]input-labor'!$A:$A) * (S$20='[1]input-labor'!$B:$B) * ($A24='[1]input-labor'!$C:$C)  * ('2.1 LABOR STRUCTURE'!$E$4='[1]input-labor'!$G:$G), '[1]input-labor'!$D:$D)</f>
        <v>#N/A</v>
      </c>
      <c r="T24" s="376" cm="1">
        <f t="array" ref="T24">_xlfn.XLOOKUP(1, ('0. GUIDELINES'!$E$3='[1]input-labor'!$A:$A) * (T$20='[1]input-labor'!$B:$B) * ($A24='[1]input-labor'!$C:$C)  * ('2.1 LABOR STRUCTURE'!$E$4='[1]input-labor'!$G:$G), '[1]input-labor'!$D:$D)</f>
        <v>416.73294067382813</v>
      </c>
      <c r="U24" s="376" t="e" cm="1">
        <f t="array" ref="U24">_xlfn.XLOOKUP(1, ('0. GUIDELINES'!$E$3='[1]input-labor'!$A:$A) * (U$20='[1]input-labor'!$B:$B) * ($A24='[1]input-labor'!$C:$C)  * ('2.1 LABOR STRUCTURE'!$E$4='[1]input-labor'!$G:$G), '[1]input-labor'!$D:$D)</f>
        <v>#N/A</v>
      </c>
      <c r="V24" s="376" t="e" cm="1">
        <f t="array" ref="V24">_xlfn.XLOOKUP(1, ('0. GUIDELINES'!$E$3='[1]input-labor'!$A:$A) * (V$20='[1]input-labor'!$B:$B) * ($A24='[1]input-labor'!$C:$C)  * ('2.1 LABOR STRUCTURE'!$E$4='[1]input-labor'!$G:$G), '[1]input-labor'!$D:$D)</f>
        <v>#N/A</v>
      </c>
      <c r="W24" s="376" t="e" cm="1">
        <f t="array" ref="W24">_xlfn.XLOOKUP(1, ('0. GUIDELINES'!$E$3='[1]input-labor'!$A:$A) * (W$20='[1]input-labor'!$B:$B) * ($A24='[1]input-labor'!$C:$C)  * ('2.1 LABOR STRUCTURE'!$E$4='[1]input-labor'!$G:$G), '[1]input-labor'!$D:$D)</f>
        <v>#N/A</v>
      </c>
      <c r="X24" s="376" t="e" cm="1">
        <f t="array" ref="X24">_xlfn.XLOOKUP(1, ('0. GUIDELINES'!$E$3='[1]input-labor'!$A:$A) * (X$20='[1]input-labor'!$B:$B) * ($A24='[1]input-labor'!$C:$C)  * ('2.1 LABOR STRUCTURE'!$E$4='[1]input-labor'!$G:$G), '[1]input-labor'!$D:$D)</f>
        <v>#N/A</v>
      </c>
      <c r="Y24" s="376" t="e" cm="1">
        <f t="array" ref="Y24">_xlfn.XLOOKUP(1, ('0. GUIDELINES'!$E$3='[1]input-labor'!$A:$A) * (Y$20='[1]input-labor'!$B:$B) * ($A24='[1]input-labor'!$C:$C)  * ('2.1 LABOR STRUCTURE'!$E$4='[1]input-labor'!$G:$G), '[1]input-labor'!$D:$D)</f>
        <v>#N/A</v>
      </c>
      <c r="Z24" s="376" cm="1">
        <f t="array" ref="Z24">_xlfn.XLOOKUP(1, ('0. GUIDELINES'!$E$3='[1]input-labor'!$A:$A) * (Z$20='[1]input-labor'!$B:$B) * ($A24='[1]input-labor'!$C:$C)  * ('2.1 LABOR STRUCTURE'!$E$4='[1]input-labor'!$G:$G), '[1]input-labor'!$D:$D)</f>
        <v>866.3953857421875</v>
      </c>
      <c r="AA24" s="183">
        <f>+Z24*(1+(AA11*(ELASTICITY!K34))/100)</f>
        <v>862.08546775320451</v>
      </c>
      <c r="AB24" s="183">
        <f>+AA24*(1+(AB11*(ELASTICITY!L34))/100)</f>
        <v>858.6275500785315</v>
      </c>
      <c r="AC24" s="183">
        <f>+AB24*(1+(AC11*(ELASTICITY!M34))/100)</f>
        <v>864.70450029195285</v>
      </c>
      <c r="AD24" s="183">
        <f>+AC24*(1+(AD11*(ELASTICITY!N34))/100)</f>
        <v>870.80896898877427</v>
      </c>
      <c r="AF24" s="93" t="s">
        <v>617</v>
      </c>
      <c r="AK24" s="453"/>
      <c r="AL24" s="453"/>
      <c r="AM24" s="453"/>
      <c r="AN24" s="453"/>
      <c r="AW24" s="93">
        <f>Z24/Z23</f>
        <v>1.4103137240252308</v>
      </c>
      <c r="AX24" s="93">
        <f t="shared" ref="AX24:BA24" si="24">AA24/AA23</f>
        <v>1.4712586662444016</v>
      </c>
      <c r="AY24" s="93">
        <f t="shared" si="24"/>
        <v>1.4998779098701922</v>
      </c>
      <c r="AZ24" s="93">
        <f t="shared" si="24"/>
        <v>1.5038411573607031</v>
      </c>
      <c r="BA24" s="93">
        <f t="shared" si="24"/>
        <v>1.4946730595626943</v>
      </c>
    </row>
    <row r="25" spans="1:53" ht="15.75" customHeight="1" x14ac:dyDescent="0.2">
      <c r="A25" s="88" t="s">
        <v>521</v>
      </c>
      <c r="B25" s="292"/>
      <c r="H25" s="375" t="s">
        <v>618</v>
      </c>
      <c r="I25" s="376" t="e" cm="1">
        <f t="array" ref="I25">_xlfn.XLOOKUP(1, ('0. GUIDELINES'!$E$3='[1]input-labor'!$A:$A) * (I$20='[1]input-labor'!$B:$B) * ($A25='[1]input-labor'!$C:$C)  * ('2.1 LABOR STRUCTURE'!$E$4='[1]input-labor'!$G:$G), '[1]input-labor'!$D:$D)</f>
        <v>#N/A</v>
      </c>
      <c r="J25" s="376" t="e" cm="1">
        <f t="array" ref="J25">_xlfn.XLOOKUP(1, ('0. GUIDELINES'!$E$3='[1]input-labor'!$A:$A) * (J$20='[1]input-labor'!$B:$B) * ($A25='[1]input-labor'!$C:$C)  * ('2.1 LABOR STRUCTURE'!$E$4='[1]input-labor'!$G:$G), '[1]input-labor'!$D:$D)</f>
        <v>#N/A</v>
      </c>
      <c r="K25" s="376" t="e" cm="1">
        <f t="array" ref="K25">_xlfn.XLOOKUP(1, ('0. GUIDELINES'!$E$3='[1]input-labor'!$A:$A) * (K$20='[1]input-labor'!$B:$B) * ($A25='[1]input-labor'!$C:$C)  * ('2.1 LABOR STRUCTURE'!$E$4='[1]input-labor'!$G:$G), '[1]input-labor'!$D:$D)</f>
        <v>#N/A</v>
      </c>
      <c r="L25" s="376" t="e" cm="1">
        <f t="array" ref="L25">_xlfn.XLOOKUP(1, ('0. GUIDELINES'!$E$3='[1]input-labor'!$A:$A) * (L$20='[1]input-labor'!$B:$B) * ($A25='[1]input-labor'!$C:$C)  * ('2.1 LABOR STRUCTURE'!$E$4='[1]input-labor'!$G:$G), '[1]input-labor'!$D:$D)</f>
        <v>#N/A</v>
      </c>
      <c r="M25" s="376" t="e" cm="1">
        <f t="array" ref="M25">_xlfn.XLOOKUP(1, ('0. GUIDELINES'!$E$3='[1]input-labor'!$A:$A) * (M$20='[1]input-labor'!$B:$B) * ($A25='[1]input-labor'!$C:$C)  * ('2.1 LABOR STRUCTURE'!$E$4='[1]input-labor'!$G:$G), '[1]input-labor'!$D:$D)</f>
        <v>#N/A</v>
      </c>
      <c r="N25" s="376" t="e" cm="1">
        <f t="array" ref="N25">_xlfn.XLOOKUP(1, ('0. GUIDELINES'!$E$3='[1]input-labor'!$A:$A) * (N$20='[1]input-labor'!$B:$B) * ($A25='[1]input-labor'!$C:$C)  * ('2.1 LABOR STRUCTURE'!$E$4='[1]input-labor'!$G:$G), '[1]input-labor'!$D:$D)</f>
        <v>#N/A</v>
      </c>
      <c r="O25" s="376" t="e" cm="1">
        <f t="array" ref="O25">_xlfn.XLOOKUP(1, ('0. GUIDELINES'!$E$3='[1]input-labor'!$A:$A) * (O$20='[1]input-labor'!$B:$B) * ($A25='[1]input-labor'!$C:$C)  * ('2.1 LABOR STRUCTURE'!$E$4='[1]input-labor'!$G:$G), '[1]input-labor'!$D:$D)</f>
        <v>#N/A</v>
      </c>
      <c r="P25" s="376" t="e" cm="1">
        <f t="array" ref="P25">_xlfn.XLOOKUP(1, ('0. GUIDELINES'!$E$3='[1]input-labor'!$A:$A) * (P$20='[1]input-labor'!$B:$B) * ($A25='[1]input-labor'!$C:$C)  * ('2.1 LABOR STRUCTURE'!$E$4='[1]input-labor'!$G:$G), '[1]input-labor'!$D:$D)</f>
        <v>#N/A</v>
      </c>
      <c r="Q25" s="376" t="e" cm="1">
        <f t="array" ref="Q25">_xlfn.XLOOKUP(1, ('0. GUIDELINES'!$E$3='[1]input-labor'!$A:$A) * (Q$20='[1]input-labor'!$B:$B) * ($A25='[1]input-labor'!$C:$C)  * ('2.1 LABOR STRUCTURE'!$E$4='[1]input-labor'!$G:$G), '[1]input-labor'!$D:$D)</f>
        <v>#N/A</v>
      </c>
      <c r="R25" s="376" t="e" cm="1">
        <f t="array" ref="R25">_xlfn.XLOOKUP(1, ('0. GUIDELINES'!$E$3='[1]input-labor'!$A:$A) * (R$20='[1]input-labor'!$B:$B) * ($A25='[1]input-labor'!$C:$C)  * ('2.1 LABOR STRUCTURE'!$E$4='[1]input-labor'!$G:$G), '[1]input-labor'!$D:$D)</f>
        <v>#N/A</v>
      </c>
      <c r="S25" s="376" t="e" cm="1">
        <f t="array" ref="S25">_xlfn.XLOOKUP(1, ('0. GUIDELINES'!$E$3='[1]input-labor'!$A:$A) * (S$20='[1]input-labor'!$B:$B) * ($A25='[1]input-labor'!$C:$C)  * ('2.1 LABOR STRUCTURE'!$E$4='[1]input-labor'!$G:$G), '[1]input-labor'!$D:$D)</f>
        <v>#N/A</v>
      </c>
      <c r="T25" s="376" cm="1">
        <f t="array" ref="T25">_xlfn.XLOOKUP(1, ('0. GUIDELINES'!$E$3='[1]input-labor'!$A:$A) * (T$20='[1]input-labor'!$B:$B) * ($A25='[1]input-labor'!$C:$C)  * ('2.1 LABOR STRUCTURE'!$E$4='[1]input-labor'!$G:$G), '[1]input-labor'!$D:$D)</f>
        <v>334.06631469726563</v>
      </c>
      <c r="U25" s="376" t="e" cm="1">
        <f t="array" ref="U25">_xlfn.XLOOKUP(1, ('0. GUIDELINES'!$E$3='[1]input-labor'!$A:$A) * (U$20='[1]input-labor'!$B:$B) * ($A25='[1]input-labor'!$C:$C)  * ('2.1 LABOR STRUCTURE'!$E$4='[1]input-labor'!$G:$G), '[1]input-labor'!$D:$D)</f>
        <v>#N/A</v>
      </c>
      <c r="V25" s="376" t="e" cm="1">
        <f t="array" ref="V25">_xlfn.XLOOKUP(1, ('0. GUIDELINES'!$E$3='[1]input-labor'!$A:$A) * (V$20='[1]input-labor'!$B:$B) * ($A25='[1]input-labor'!$C:$C)  * ('2.1 LABOR STRUCTURE'!$E$4='[1]input-labor'!$G:$G), '[1]input-labor'!$D:$D)</f>
        <v>#N/A</v>
      </c>
      <c r="W25" s="376" t="e" cm="1">
        <f t="array" ref="W25">_xlfn.XLOOKUP(1, ('0. GUIDELINES'!$E$3='[1]input-labor'!$A:$A) * (W$20='[1]input-labor'!$B:$B) * ($A25='[1]input-labor'!$C:$C)  * ('2.1 LABOR STRUCTURE'!$E$4='[1]input-labor'!$G:$G), '[1]input-labor'!$D:$D)</f>
        <v>#N/A</v>
      </c>
      <c r="X25" s="376" t="e" cm="1">
        <f t="array" ref="X25">_xlfn.XLOOKUP(1, ('0. GUIDELINES'!$E$3='[1]input-labor'!$A:$A) * (X$20='[1]input-labor'!$B:$B) * ($A25='[1]input-labor'!$C:$C)  * ('2.1 LABOR STRUCTURE'!$E$4='[1]input-labor'!$G:$G), '[1]input-labor'!$D:$D)</f>
        <v>#N/A</v>
      </c>
      <c r="Y25" s="376" t="e" cm="1">
        <f t="array" ref="Y25">_xlfn.XLOOKUP(1, ('0. GUIDELINES'!$E$3='[1]input-labor'!$A:$A) * (Y$20='[1]input-labor'!$B:$B) * ($A25='[1]input-labor'!$C:$C)  * ('2.1 LABOR STRUCTURE'!$E$4='[1]input-labor'!$G:$G), '[1]input-labor'!$D:$D)</f>
        <v>#N/A</v>
      </c>
      <c r="Z25" s="376" cm="1">
        <f t="array" ref="Z25">_xlfn.XLOOKUP(1, ('0. GUIDELINES'!$E$3='[1]input-labor'!$A:$A) * (Z$20='[1]input-labor'!$B:$B) * ($A25='[1]input-labor'!$C:$C)  * ('2.1 LABOR STRUCTURE'!$E$4='[1]input-labor'!$G:$G), '[1]input-labor'!$D:$D)</f>
        <v>502.22030639648438</v>
      </c>
      <c r="AA25" s="183">
        <f>+Z25*(1+(AA12*(ELASTICITY!K35))/100)</f>
        <v>498.45847175953992</v>
      </c>
      <c r="AB25" s="183">
        <f>+AA25*(1+(AB12*(ELASTICITY!L35))/100)</f>
        <v>492.37558681941573</v>
      </c>
      <c r="AC25" s="183">
        <f>+AB25*(1+(AC12*(ELASTICITY!M35))/100)</f>
        <v>493.67306263875724</v>
      </c>
      <c r="AD25" s="183">
        <f>+AC25*(1+(AD12*(ELASTICITY!N35))/100)</f>
        <v>504.61262546594776</v>
      </c>
      <c r="AF25" s="93" t="s">
        <v>618</v>
      </c>
    </row>
    <row r="26" spans="1:53" x14ac:dyDescent="0.2">
      <c r="A26" s="88" t="s">
        <v>522</v>
      </c>
      <c r="B26" s="292"/>
      <c r="H26" s="375" t="s">
        <v>619</v>
      </c>
      <c r="I26" s="376" t="e" cm="1">
        <f t="array" ref="I26">_xlfn.XLOOKUP(1, ('0. GUIDELINES'!$E$3='[1]input-labor'!$A:$A) * (I$20='[1]input-labor'!$B:$B) * ($A26='[1]input-labor'!$C:$C)  * ('2.1 LABOR STRUCTURE'!$E$4='[1]input-labor'!$G:$G), '[1]input-labor'!$D:$D)</f>
        <v>#N/A</v>
      </c>
      <c r="J26" s="376" t="e" cm="1">
        <f t="array" ref="J26">_xlfn.XLOOKUP(1, ('0. GUIDELINES'!$E$3='[1]input-labor'!$A:$A) * (J$20='[1]input-labor'!$B:$B) * ($A26='[1]input-labor'!$C:$C)  * ('2.1 LABOR STRUCTURE'!$E$4='[1]input-labor'!$G:$G), '[1]input-labor'!$D:$D)</f>
        <v>#N/A</v>
      </c>
      <c r="K26" s="376" t="e" cm="1">
        <f t="array" ref="K26">_xlfn.XLOOKUP(1, ('0. GUIDELINES'!$E$3='[1]input-labor'!$A:$A) * (K$20='[1]input-labor'!$B:$B) * ($A26='[1]input-labor'!$C:$C)  * ('2.1 LABOR STRUCTURE'!$E$4='[1]input-labor'!$G:$G), '[1]input-labor'!$D:$D)</f>
        <v>#N/A</v>
      </c>
      <c r="L26" s="376" t="e" cm="1">
        <f t="array" ref="L26">_xlfn.XLOOKUP(1, ('0. GUIDELINES'!$E$3='[1]input-labor'!$A:$A) * (L$20='[1]input-labor'!$B:$B) * ($A26='[1]input-labor'!$C:$C)  * ('2.1 LABOR STRUCTURE'!$E$4='[1]input-labor'!$G:$G), '[1]input-labor'!$D:$D)</f>
        <v>#N/A</v>
      </c>
      <c r="M26" s="376" t="e" cm="1">
        <f t="array" ref="M26">_xlfn.XLOOKUP(1, ('0. GUIDELINES'!$E$3='[1]input-labor'!$A:$A) * (M$20='[1]input-labor'!$B:$B) * ($A26='[1]input-labor'!$C:$C)  * ('2.1 LABOR STRUCTURE'!$E$4='[1]input-labor'!$G:$G), '[1]input-labor'!$D:$D)</f>
        <v>#N/A</v>
      </c>
      <c r="N26" s="376" t="e" cm="1">
        <f t="array" ref="N26">_xlfn.XLOOKUP(1, ('0. GUIDELINES'!$E$3='[1]input-labor'!$A:$A) * (N$20='[1]input-labor'!$B:$B) * ($A26='[1]input-labor'!$C:$C)  * ('2.1 LABOR STRUCTURE'!$E$4='[1]input-labor'!$G:$G), '[1]input-labor'!$D:$D)</f>
        <v>#N/A</v>
      </c>
      <c r="O26" s="376" t="e" cm="1">
        <f t="array" ref="O26">_xlfn.XLOOKUP(1, ('0. GUIDELINES'!$E$3='[1]input-labor'!$A:$A) * (O$20='[1]input-labor'!$B:$B) * ($A26='[1]input-labor'!$C:$C)  * ('2.1 LABOR STRUCTURE'!$E$4='[1]input-labor'!$G:$G), '[1]input-labor'!$D:$D)</f>
        <v>#N/A</v>
      </c>
      <c r="P26" s="376" t="e" cm="1">
        <f t="array" ref="P26">_xlfn.XLOOKUP(1, ('0. GUIDELINES'!$E$3='[1]input-labor'!$A:$A) * (P$20='[1]input-labor'!$B:$B) * ($A26='[1]input-labor'!$C:$C)  * ('2.1 LABOR STRUCTURE'!$E$4='[1]input-labor'!$G:$G), '[1]input-labor'!$D:$D)</f>
        <v>#N/A</v>
      </c>
      <c r="Q26" s="376" t="e" cm="1">
        <f t="array" ref="Q26">_xlfn.XLOOKUP(1, ('0. GUIDELINES'!$E$3='[1]input-labor'!$A:$A) * (Q$20='[1]input-labor'!$B:$B) * ($A26='[1]input-labor'!$C:$C)  * ('2.1 LABOR STRUCTURE'!$E$4='[1]input-labor'!$G:$G), '[1]input-labor'!$D:$D)</f>
        <v>#N/A</v>
      </c>
      <c r="R26" s="376" t="e" cm="1">
        <f t="array" ref="R26">_xlfn.XLOOKUP(1, ('0. GUIDELINES'!$E$3='[1]input-labor'!$A:$A) * (R$20='[1]input-labor'!$B:$B) * ($A26='[1]input-labor'!$C:$C)  * ('2.1 LABOR STRUCTURE'!$E$4='[1]input-labor'!$G:$G), '[1]input-labor'!$D:$D)</f>
        <v>#N/A</v>
      </c>
      <c r="S26" s="376" t="e" cm="1">
        <f t="array" ref="S26">_xlfn.XLOOKUP(1, ('0. GUIDELINES'!$E$3='[1]input-labor'!$A:$A) * (S$20='[1]input-labor'!$B:$B) * ($A26='[1]input-labor'!$C:$C)  * ('2.1 LABOR STRUCTURE'!$E$4='[1]input-labor'!$G:$G), '[1]input-labor'!$D:$D)</f>
        <v>#N/A</v>
      </c>
      <c r="T26" s="376" cm="1">
        <f t="array" ref="T26">_xlfn.XLOOKUP(1, ('0. GUIDELINES'!$E$3='[1]input-labor'!$A:$A) * (T$20='[1]input-labor'!$B:$B) * ($A26='[1]input-labor'!$C:$C)  * ('2.1 LABOR STRUCTURE'!$E$4='[1]input-labor'!$G:$G), '[1]input-labor'!$D:$D)</f>
        <v>591.46917724609375</v>
      </c>
      <c r="U26" s="376" t="e" cm="1">
        <f t="array" ref="U26">_xlfn.XLOOKUP(1, ('0. GUIDELINES'!$E$3='[1]input-labor'!$A:$A) * (U$20='[1]input-labor'!$B:$B) * ($A26='[1]input-labor'!$C:$C)  * ('2.1 LABOR STRUCTURE'!$E$4='[1]input-labor'!$G:$G), '[1]input-labor'!$D:$D)</f>
        <v>#N/A</v>
      </c>
      <c r="V26" s="376" t="e" cm="1">
        <f t="array" ref="V26">_xlfn.XLOOKUP(1, ('0. GUIDELINES'!$E$3='[1]input-labor'!$A:$A) * (V$20='[1]input-labor'!$B:$B) * ($A26='[1]input-labor'!$C:$C)  * ('2.1 LABOR STRUCTURE'!$E$4='[1]input-labor'!$G:$G), '[1]input-labor'!$D:$D)</f>
        <v>#N/A</v>
      </c>
      <c r="W26" s="376" t="e" cm="1">
        <f t="array" ref="W26">_xlfn.XLOOKUP(1, ('0. GUIDELINES'!$E$3='[1]input-labor'!$A:$A) * (W$20='[1]input-labor'!$B:$B) * ($A26='[1]input-labor'!$C:$C)  * ('2.1 LABOR STRUCTURE'!$E$4='[1]input-labor'!$G:$G), '[1]input-labor'!$D:$D)</f>
        <v>#N/A</v>
      </c>
      <c r="X26" s="376" t="e" cm="1">
        <f t="array" ref="X26">_xlfn.XLOOKUP(1, ('0. GUIDELINES'!$E$3='[1]input-labor'!$A:$A) * (X$20='[1]input-labor'!$B:$B) * ($A26='[1]input-labor'!$C:$C)  * ('2.1 LABOR STRUCTURE'!$E$4='[1]input-labor'!$G:$G), '[1]input-labor'!$D:$D)</f>
        <v>#N/A</v>
      </c>
      <c r="Y26" s="376" t="e" cm="1">
        <f t="array" ref="Y26">_xlfn.XLOOKUP(1, ('0. GUIDELINES'!$E$3='[1]input-labor'!$A:$A) * (Y$20='[1]input-labor'!$B:$B) * ($A26='[1]input-labor'!$C:$C)  * ('2.1 LABOR STRUCTURE'!$E$4='[1]input-labor'!$G:$G), '[1]input-labor'!$D:$D)</f>
        <v>#N/A</v>
      </c>
      <c r="Z26" s="376" cm="1">
        <f t="array" ref="Z26">_xlfn.XLOOKUP(1, ('0. GUIDELINES'!$E$3='[1]input-labor'!$A:$A) * (Z$20='[1]input-labor'!$B:$B) * ($A26='[1]input-labor'!$C:$C)  * ('2.1 LABOR STRUCTURE'!$E$4='[1]input-labor'!$G:$G), '[1]input-labor'!$D:$D)</f>
        <v>1200.75146484375</v>
      </c>
      <c r="AA26" s="183">
        <f>+Z26*(1+(AA12*(ELASTICITY!K36))/100)</f>
        <v>1198.7073472282152</v>
      </c>
      <c r="AB26" s="183">
        <f>+AA26*(1+(AB12*(ELASTICITY!L36))/100)</f>
        <v>1196.9112489788222</v>
      </c>
      <c r="AC26" s="183">
        <f>+AB26*(1+(AC12*(ELASTICITY!M36))/100)</f>
        <v>1202.4307873734635</v>
      </c>
      <c r="AD26" s="183">
        <f>+AC26*(1+(AD12*(ELASTICITY!N36))/100)</f>
        <v>1210.7204364437807</v>
      </c>
      <c r="AF26" s="93" t="s">
        <v>619</v>
      </c>
      <c r="AK26" s="453"/>
      <c r="AL26" s="453"/>
      <c r="AM26" s="453"/>
      <c r="AN26" s="453"/>
      <c r="AW26" s="93">
        <f>Z26/Z25</f>
        <v>2.3908859310356143</v>
      </c>
      <c r="AX26" s="93">
        <f t="shared" ref="AX26:BA26" si="25">AA26/AA25</f>
        <v>2.4048289178370723</v>
      </c>
      <c r="AY26" s="93">
        <f t="shared" si="25"/>
        <v>2.4308907285807466</v>
      </c>
      <c r="AZ26" s="93">
        <f t="shared" si="25"/>
        <v>2.4356823946323685</v>
      </c>
      <c r="BA26" s="93">
        <f t="shared" si="25"/>
        <v>2.3993066668235445</v>
      </c>
    </row>
    <row r="27" spans="1:53" x14ac:dyDescent="0.2">
      <c r="A27" s="88"/>
      <c r="B27" s="292"/>
      <c r="H27" s="377" t="s">
        <v>199</v>
      </c>
      <c r="I27" s="378" t="e">
        <f>(I21*('2.1 LABOR STRUCTURE'!I52)+I22*(1-'2.1 LABOR STRUCTURE'!I52))*'2.1 LABOR STRUCTURE'!I45+(I23*('2.1 LABOR STRUCTURE'!I53)+I24*(1-'2.1 LABOR STRUCTURE'!I53))*'2.1 LABOR STRUCTURE'!I46+(I25*('2.1 LABOR STRUCTURE'!I54)+I26*(1-'2.1 LABOR STRUCTURE'!I54))*'2.1 LABOR STRUCTURE'!I47+(#REF!*('2.1 LABOR STRUCTURE'!I55)+#REF!*(1-'2.1 LABOR STRUCTURE'!I55))*'2.1 LABOR STRUCTURE'!I48+(#REF!*('2.1 LABOR STRUCTURE'!I56)+#REF!*(1-'2.1 LABOR STRUCTURE'!I56))*'2.1 LABOR STRUCTURE'!I49+(#REF!*('2.1 LABOR STRUCTURE'!I57)+#REF!*(1-'2.1 LABOR STRUCTURE'!I57))*'2.1 LABOR STRUCTURE'!I50</f>
        <v>#N/A</v>
      </c>
      <c r="J27" s="378" t="e">
        <f>(J21*('2.1 LABOR STRUCTURE'!J52)+J22*(1-'2.1 LABOR STRUCTURE'!J52))*'2.1 LABOR STRUCTURE'!J45+(J23*('2.1 LABOR STRUCTURE'!J53)+J24*(1-'2.1 LABOR STRUCTURE'!J53))*'2.1 LABOR STRUCTURE'!J46+(J25*('2.1 LABOR STRUCTURE'!J54)+J26*(1-'2.1 LABOR STRUCTURE'!J54))*'2.1 LABOR STRUCTURE'!J47+(#REF!*('2.1 LABOR STRUCTURE'!J55)+#REF!*(1-'2.1 LABOR STRUCTURE'!J55))*'2.1 LABOR STRUCTURE'!J48+(#REF!*('2.1 LABOR STRUCTURE'!J56)+#REF!*(1-'2.1 LABOR STRUCTURE'!J56))*'2.1 LABOR STRUCTURE'!J49+(#REF!*('2.1 LABOR STRUCTURE'!J57)+#REF!*(1-'2.1 LABOR STRUCTURE'!J57))*'2.1 LABOR STRUCTURE'!J50</f>
        <v>#N/A</v>
      </c>
      <c r="K27" s="378" t="e">
        <f>(K21*('2.1 LABOR STRUCTURE'!K52)+K22*(1-'2.1 LABOR STRUCTURE'!K52))*'2.1 LABOR STRUCTURE'!K45+(K23*('2.1 LABOR STRUCTURE'!K53)+K24*(1-'2.1 LABOR STRUCTURE'!K53))*'2.1 LABOR STRUCTURE'!K46+(K25*('2.1 LABOR STRUCTURE'!K54)+K26*(1-'2.1 LABOR STRUCTURE'!K54))*'2.1 LABOR STRUCTURE'!K47+(#REF!*('2.1 LABOR STRUCTURE'!K55)+#REF!*(1-'2.1 LABOR STRUCTURE'!K55))*'2.1 LABOR STRUCTURE'!K48+(#REF!*('2.1 LABOR STRUCTURE'!K56)+#REF!*(1-'2.1 LABOR STRUCTURE'!K56))*'2.1 LABOR STRUCTURE'!K49+(#REF!*('2.1 LABOR STRUCTURE'!K57)+#REF!*(1-'2.1 LABOR STRUCTURE'!K57))*'2.1 LABOR STRUCTURE'!K50</f>
        <v>#N/A</v>
      </c>
      <c r="L27" s="378" t="e">
        <f>(L21*('2.1 LABOR STRUCTURE'!L52)+L22*(1-'2.1 LABOR STRUCTURE'!L52))*'2.1 LABOR STRUCTURE'!L45+(L23*('2.1 LABOR STRUCTURE'!L53)+L24*(1-'2.1 LABOR STRUCTURE'!L53))*'2.1 LABOR STRUCTURE'!L46+(L25*('2.1 LABOR STRUCTURE'!L54)+L26*(1-'2.1 LABOR STRUCTURE'!L54))*'2.1 LABOR STRUCTURE'!L47+(#REF!*('2.1 LABOR STRUCTURE'!L55)+#REF!*(1-'2.1 LABOR STRUCTURE'!L55))*'2.1 LABOR STRUCTURE'!L48+(#REF!*('2.1 LABOR STRUCTURE'!L56)+#REF!*(1-'2.1 LABOR STRUCTURE'!L56))*'2.1 LABOR STRUCTURE'!L49+(#REF!*('2.1 LABOR STRUCTURE'!L57)+#REF!*(1-'2.1 LABOR STRUCTURE'!L57))*'2.1 LABOR STRUCTURE'!L50</f>
        <v>#N/A</v>
      </c>
      <c r="M27" s="378" t="e">
        <f>(M21*('2.1 LABOR STRUCTURE'!M52)+M22*(1-'2.1 LABOR STRUCTURE'!M52))*'2.1 LABOR STRUCTURE'!M45+(M23*('2.1 LABOR STRUCTURE'!M53)+M24*(1-'2.1 LABOR STRUCTURE'!M53))*'2.1 LABOR STRUCTURE'!M46+(M25*('2.1 LABOR STRUCTURE'!M54)+M26*(1-'2.1 LABOR STRUCTURE'!M54))*'2.1 LABOR STRUCTURE'!M47+(#REF!*('2.1 LABOR STRUCTURE'!M55)+#REF!*(1-'2.1 LABOR STRUCTURE'!M55))*'2.1 LABOR STRUCTURE'!M48+(#REF!*('2.1 LABOR STRUCTURE'!M56)+#REF!*(1-'2.1 LABOR STRUCTURE'!M56))*'2.1 LABOR STRUCTURE'!M49+(#REF!*('2.1 LABOR STRUCTURE'!M57)+#REF!*(1-'2.1 LABOR STRUCTURE'!M57))*'2.1 LABOR STRUCTURE'!M50</f>
        <v>#N/A</v>
      </c>
      <c r="N27" s="378" t="e">
        <f>(N21*('2.1 LABOR STRUCTURE'!N52)+N22*(1-'2.1 LABOR STRUCTURE'!N52))*'2.1 LABOR STRUCTURE'!N45+(N23*('2.1 LABOR STRUCTURE'!N53)+N24*(1-'2.1 LABOR STRUCTURE'!N53))*'2.1 LABOR STRUCTURE'!N46+(N25*('2.1 LABOR STRUCTURE'!N54)+N26*(1-'2.1 LABOR STRUCTURE'!N54))*'2.1 LABOR STRUCTURE'!N47+(#REF!*('2.1 LABOR STRUCTURE'!N55)+#REF!*(1-'2.1 LABOR STRUCTURE'!N55))*'2.1 LABOR STRUCTURE'!N48+(#REF!*('2.1 LABOR STRUCTURE'!N56)+#REF!*(1-'2.1 LABOR STRUCTURE'!N56))*'2.1 LABOR STRUCTURE'!N49+(#REF!*('2.1 LABOR STRUCTURE'!N57)+#REF!*(1-'2.1 LABOR STRUCTURE'!N57))*'2.1 LABOR STRUCTURE'!N50</f>
        <v>#N/A</v>
      </c>
      <c r="O27" s="378" t="e">
        <f>(O21*('2.1 LABOR STRUCTURE'!O52)+O22*(1-'2.1 LABOR STRUCTURE'!O52))*'2.1 LABOR STRUCTURE'!O45+(O23*('2.1 LABOR STRUCTURE'!O53)+O24*(1-'2.1 LABOR STRUCTURE'!O53))*'2.1 LABOR STRUCTURE'!O46+(O25*('2.1 LABOR STRUCTURE'!O54)+O26*(1-'2.1 LABOR STRUCTURE'!O54))*'2.1 LABOR STRUCTURE'!O47+(#REF!*('2.1 LABOR STRUCTURE'!O55)+#REF!*(1-'2.1 LABOR STRUCTURE'!O55))*'2.1 LABOR STRUCTURE'!O48+(#REF!*('2.1 LABOR STRUCTURE'!O56)+#REF!*(1-'2.1 LABOR STRUCTURE'!O56))*'2.1 LABOR STRUCTURE'!O49+(#REF!*('2.1 LABOR STRUCTURE'!O57)+#REF!*(1-'2.1 LABOR STRUCTURE'!O57))*'2.1 LABOR STRUCTURE'!O50</f>
        <v>#N/A</v>
      </c>
      <c r="P27" s="378" t="e">
        <f>(P21*('2.1 LABOR STRUCTURE'!P52)+P22*(1-'2.1 LABOR STRUCTURE'!P52))*'2.1 LABOR STRUCTURE'!P45+(P23*('2.1 LABOR STRUCTURE'!P53)+P24*(1-'2.1 LABOR STRUCTURE'!P53))*'2.1 LABOR STRUCTURE'!P46+(P25*('2.1 LABOR STRUCTURE'!P54)+P26*(1-'2.1 LABOR STRUCTURE'!P54))*'2.1 LABOR STRUCTURE'!P47+(#REF!*('2.1 LABOR STRUCTURE'!P55)+#REF!*(1-'2.1 LABOR STRUCTURE'!P55))*'2.1 LABOR STRUCTURE'!P48+(#REF!*('2.1 LABOR STRUCTURE'!P56)+#REF!*(1-'2.1 LABOR STRUCTURE'!P56))*'2.1 LABOR STRUCTURE'!P49+(#REF!*('2.1 LABOR STRUCTURE'!P57)+#REF!*(1-'2.1 LABOR STRUCTURE'!P57))*'2.1 LABOR STRUCTURE'!P50</f>
        <v>#N/A</v>
      </c>
      <c r="Q27" s="378" t="e">
        <f>(Q21*('2.1 LABOR STRUCTURE'!Q52)+Q22*(1-'2.1 LABOR STRUCTURE'!Q52))*'2.1 LABOR STRUCTURE'!Q45+(Q23*('2.1 LABOR STRUCTURE'!Q53)+Q24*(1-'2.1 LABOR STRUCTURE'!Q53))*'2.1 LABOR STRUCTURE'!Q46+(Q25*('2.1 LABOR STRUCTURE'!Q54)+Q26*(1-'2.1 LABOR STRUCTURE'!Q54))*'2.1 LABOR STRUCTURE'!Q47+(#REF!*('2.1 LABOR STRUCTURE'!Q55)+#REF!*(1-'2.1 LABOR STRUCTURE'!Q55))*'2.1 LABOR STRUCTURE'!Q48+(#REF!*('2.1 LABOR STRUCTURE'!Q56)+#REF!*(1-'2.1 LABOR STRUCTURE'!Q56))*'2.1 LABOR STRUCTURE'!Q49+(#REF!*('2.1 LABOR STRUCTURE'!Q57)+#REF!*(1-'2.1 LABOR STRUCTURE'!Q57))*'2.1 LABOR STRUCTURE'!Q50</f>
        <v>#N/A</v>
      </c>
      <c r="R27" s="378" t="e">
        <f>(R21*('2.1 LABOR STRUCTURE'!R52)+R22*(1-'2.1 LABOR STRUCTURE'!R52))*'2.1 LABOR STRUCTURE'!R45+(R23*('2.1 LABOR STRUCTURE'!R53)+R24*(1-'2.1 LABOR STRUCTURE'!R53))*'2.1 LABOR STRUCTURE'!R46+(R25*('2.1 LABOR STRUCTURE'!R54)+R26*(1-'2.1 LABOR STRUCTURE'!R54))*'2.1 LABOR STRUCTURE'!R47+(#REF!*('2.1 LABOR STRUCTURE'!R55)+#REF!*(1-'2.1 LABOR STRUCTURE'!R55))*'2.1 LABOR STRUCTURE'!R48+(#REF!*('2.1 LABOR STRUCTURE'!R56)+#REF!*(1-'2.1 LABOR STRUCTURE'!R56))*'2.1 LABOR STRUCTURE'!R49+(#REF!*('2.1 LABOR STRUCTURE'!R57)+#REF!*(1-'2.1 LABOR STRUCTURE'!R57))*'2.1 LABOR STRUCTURE'!R50</f>
        <v>#N/A</v>
      </c>
      <c r="S27" s="378" t="e">
        <f>(S21*('2.1 LABOR STRUCTURE'!S52)+S22*(1-'2.1 LABOR STRUCTURE'!S52))*'2.1 LABOR STRUCTURE'!S45+(S23*('2.1 LABOR STRUCTURE'!S53)+S24*(1-'2.1 LABOR STRUCTURE'!S53))*'2.1 LABOR STRUCTURE'!S46+(S25*('2.1 LABOR STRUCTURE'!S54)+S26*(1-'2.1 LABOR STRUCTURE'!S54))*'2.1 LABOR STRUCTURE'!S47+(#REF!*('2.1 LABOR STRUCTURE'!S55)+#REF!*(1-'2.1 LABOR STRUCTURE'!S55))*'2.1 LABOR STRUCTURE'!S48+(#REF!*('2.1 LABOR STRUCTURE'!S56)+#REF!*(1-'2.1 LABOR STRUCTURE'!S56))*'2.1 LABOR STRUCTURE'!S49+(#REF!*('2.1 LABOR STRUCTURE'!S57)+#REF!*(1-'2.1 LABOR STRUCTURE'!S57))*'2.1 LABOR STRUCTURE'!S50</f>
        <v>#N/A</v>
      </c>
      <c r="T27" s="378">
        <f>(T21*('2.1 LABOR STRUCTURE'!T52)+T22*(1-'2.1 LABOR STRUCTURE'!T52))*'2.1 LABOR STRUCTURE'!T45+(T23*('2.1 LABOR STRUCTURE'!T53)+T24*(1-'2.1 LABOR STRUCTURE'!T53))*'2.1 LABOR STRUCTURE'!T46+(T25*('2.1 LABOR STRUCTURE'!T54)+T26*(1-'2.1 LABOR STRUCTURE'!T54))*'2.1 LABOR STRUCTURE'!T47</f>
        <v>323.01544296148978</v>
      </c>
      <c r="U27" s="378" t="e">
        <f>(U21*('2.1 LABOR STRUCTURE'!U52)+U22*(1-'2.1 LABOR STRUCTURE'!U52))*'2.1 LABOR STRUCTURE'!U45+(U23*('2.1 LABOR STRUCTURE'!U53)+U24*(1-'2.1 LABOR STRUCTURE'!U53))*'2.1 LABOR STRUCTURE'!U46+(U25*('2.1 LABOR STRUCTURE'!U54)+U26*(1-'2.1 LABOR STRUCTURE'!U54))*'2.1 LABOR STRUCTURE'!U47</f>
        <v>#N/A</v>
      </c>
      <c r="V27" s="378" t="e">
        <f>(V21*('2.1 LABOR STRUCTURE'!V52)+V22*(1-'2.1 LABOR STRUCTURE'!V52))*'2.1 LABOR STRUCTURE'!V45+(V23*('2.1 LABOR STRUCTURE'!V53)+V24*(1-'2.1 LABOR STRUCTURE'!V53))*'2.1 LABOR STRUCTURE'!V46+(V25*('2.1 LABOR STRUCTURE'!V54)+V26*(1-'2.1 LABOR STRUCTURE'!V54))*'2.1 LABOR STRUCTURE'!V47</f>
        <v>#N/A</v>
      </c>
      <c r="W27" s="378" t="e">
        <f>(W21*('2.1 LABOR STRUCTURE'!W52)+W22*(1-'2.1 LABOR STRUCTURE'!W52))*'2.1 LABOR STRUCTURE'!W45+(W23*('2.1 LABOR STRUCTURE'!W53)+W24*(1-'2.1 LABOR STRUCTURE'!W53))*'2.1 LABOR STRUCTURE'!W46+(W25*('2.1 LABOR STRUCTURE'!W54)+W26*(1-'2.1 LABOR STRUCTURE'!W54))*'2.1 LABOR STRUCTURE'!W47</f>
        <v>#N/A</v>
      </c>
      <c r="X27" s="378" t="e">
        <f>(X21*('2.1 LABOR STRUCTURE'!X52)+X22*(1-'2.1 LABOR STRUCTURE'!X52))*'2.1 LABOR STRUCTURE'!X45+(X23*('2.1 LABOR STRUCTURE'!X53)+X24*(1-'2.1 LABOR STRUCTURE'!X53))*'2.1 LABOR STRUCTURE'!X46+(X25*('2.1 LABOR STRUCTURE'!X54)+X26*(1-'2.1 LABOR STRUCTURE'!X54))*'2.1 LABOR STRUCTURE'!X47</f>
        <v>#N/A</v>
      </c>
      <c r="Y27" s="378" t="e">
        <f>(Y21*('2.1 LABOR STRUCTURE'!Y52)+Y22*(1-'2.1 LABOR STRUCTURE'!Y52))*'2.1 LABOR STRUCTURE'!Y45+(Y23*('2.1 LABOR STRUCTURE'!Y53)+Y24*(1-'2.1 LABOR STRUCTURE'!Y53))*'2.1 LABOR STRUCTURE'!Y46+(Y25*('2.1 LABOR STRUCTURE'!Y54)+Y26*(1-'2.1 LABOR STRUCTURE'!Y54))*'2.1 LABOR STRUCTURE'!Y47</f>
        <v>#N/A</v>
      </c>
      <c r="Z27" s="378">
        <f>(Z21*('2.1 LABOR STRUCTURE'!Z52)+Z22*(1-'2.1 LABOR STRUCTURE'!Z52))*'2.1 LABOR STRUCTURE'!Z45+(Z23*('2.1 LABOR STRUCTURE'!Z53)+Z24*(1-'2.1 LABOR STRUCTURE'!Z53))*'2.1 LABOR STRUCTURE'!Z46+(Z25*('2.1 LABOR STRUCTURE'!Z54)+Z26*(1-'2.1 LABOR STRUCTURE'!Z54))*'2.1 LABOR STRUCTURE'!Z47</f>
        <v>643.73047733313888</v>
      </c>
      <c r="AA27" s="189">
        <f>(AA21*('2.1 LABOR STRUCTURE'!AA52)+AA22*(1-'2.1 LABOR STRUCTURE'!AA52))*'2.1 LABOR STRUCTURE'!AA45+(AA23*('2.1 LABOR STRUCTURE'!AA53)+AA24*(1-'2.1 LABOR STRUCTURE'!AA53))*'2.1 LABOR STRUCTURE'!AA46+(AA25*('2.1 LABOR STRUCTURE'!AA54)+AA26*(1-'2.1 LABOR STRUCTURE'!AA54))*'2.1 LABOR STRUCTURE'!AA47</f>
        <v>641.14513830532564</v>
      </c>
      <c r="AB27" s="189">
        <f>(AB21*('2.1 LABOR STRUCTURE'!AB52)+AB22*(1-'2.1 LABOR STRUCTURE'!AB52))*'2.1 LABOR STRUCTURE'!AB45+(AB23*('2.1 LABOR STRUCTURE'!AB53)+AB24*(1-'2.1 LABOR STRUCTURE'!AB53))*'2.1 LABOR STRUCTURE'!AB46+(AB25*('2.1 LABOR STRUCTURE'!AB54)+AB26*(1-'2.1 LABOR STRUCTURE'!AB54))*'2.1 LABOR STRUCTURE'!AB47</f>
        <v>637.54487388479492</v>
      </c>
      <c r="AC27" s="189">
        <f>(AC21*('2.1 LABOR STRUCTURE'!AC52)+AC22*(1-'2.1 LABOR STRUCTURE'!AC52))*'2.1 LABOR STRUCTURE'!AC45+(AC23*('2.1 LABOR STRUCTURE'!AC53)+AC24*(1-'2.1 LABOR STRUCTURE'!AC53))*'2.1 LABOR STRUCTURE'!AC46+(AC25*('2.1 LABOR STRUCTURE'!AC54)+AC26*(1-'2.1 LABOR STRUCTURE'!AC54))*'2.1 LABOR STRUCTURE'!AC47</f>
        <v>641.19164176481797</v>
      </c>
      <c r="AD27" s="189">
        <f>(AD21*('2.1 LABOR STRUCTURE'!AD52)+AD22*(1-'2.1 LABOR STRUCTURE'!AD52))*'2.1 LABOR STRUCTURE'!AD45+(AD23*('2.1 LABOR STRUCTURE'!AD53)+AD24*(1-'2.1 LABOR STRUCTURE'!AD53))*'2.1 LABOR STRUCTURE'!AD46+(AD25*('2.1 LABOR STRUCTURE'!AD54)+AD26*(1-'2.1 LABOR STRUCTURE'!AD54))*'2.1 LABOR STRUCTURE'!AD47</f>
        <v>648.3007558536242</v>
      </c>
      <c r="AF27" s="93" t="s">
        <v>199</v>
      </c>
      <c r="AX27" s="506"/>
      <c r="AY27" s="506"/>
      <c r="AZ27" s="506"/>
      <c r="BA27" s="506"/>
    </row>
    <row r="28" spans="1:53" x14ac:dyDescent="0.2">
      <c r="A28" s="88"/>
      <c r="B28" s="292"/>
      <c r="H28" s="377" t="s">
        <v>501</v>
      </c>
      <c r="I28" s="378" t="e">
        <f>(I21*'2.1 LABOR STRUCTURE'!I23+I23*'2.1 LABOR STRUCTURE'!I25+I25*'2.1 LABOR STRUCTURE'!I27+#REF!*'2.1 LABOR STRUCTURE'!I29+#REF!*'2.1 LABOR STRUCTURE'!I31+#REF!*'2.1 LABOR STRUCTURE'!I33)/SUM('2.1 LABOR STRUCTURE'!I23,'2.1 LABOR STRUCTURE'!I25,'2.1 LABOR STRUCTURE'!I27,'2.1 LABOR STRUCTURE'!I29,'2.1 LABOR STRUCTURE'!I31,'2.1 LABOR STRUCTURE'!I33)</f>
        <v>#N/A</v>
      </c>
      <c r="J28" s="378" t="e">
        <f>(J21*'2.1 LABOR STRUCTURE'!J23+J23*'2.1 LABOR STRUCTURE'!J25+J25*'2.1 LABOR STRUCTURE'!J27+#REF!*'2.1 LABOR STRUCTURE'!J29+#REF!*'2.1 LABOR STRUCTURE'!J31+#REF!*'2.1 LABOR STRUCTURE'!J33)/SUM('2.1 LABOR STRUCTURE'!J23,'2.1 LABOR STRUCTURE'!J25,'2.1 LABOR STRUCTURE'!J27,'2.1 LABOR STRUCTURE'!J29,'2.1 LABOR STRUCTURE'!J31,'2.1 LABOR STRUCTURE'!J33)</f>
        <v>#N/A</v>
      </c>
      <c r="K28" s="378" t="e">
        <f>(K21*'2.1 LABOR STRUCTURE'!K23+K23*'2.1 LABOR STRUCTURE'!K25+K25*'2.1 LABOR STRUCTURE'!K27+#REF!*'2.1 LABOR STRUCTURE'!K29+#REF!*'2.1 LABOR STRUCTURE'!K31+#REF!*'2.1 LABOR STRUCTURE'!K33)/SUM('2.1 LABOR STRUCTURE'!K23,'2.1 LABOR STRUCTURE'!K25,'2.1 LABOR STRUCTURE'!K27,'2.1 LABOR STRUCTURE'!K29,'2.1 LABOR STRUCTURE'!K31,'2.1 LABOR STRUCTURE'!K33)</f>
        <v>#N/A</v>
      </c>
      <c r="L28" s="378" t="e">
        <f>(L21*'2.1 LABOR STRUCTURE'!L23+L23*'2.1 LABOR STRUCTURE'!L25+L25*'2.1 LABOR STRUCTURE'!L27+#REF!*'2.1 LABOR STRUCTURE'!L29+#REF!*'2.1 LABOR STRUCTURE'!L31+#REF!*'2.1 LABOR STRUCTURE'!L33)/SUM('2.1 LABOR STRUCTURE'!L23,'2.1 LABOR STRUCTURE'!L25,'2.1 LABOR STRUCTURE'!L27,'2.1 LABOR STRUCTURE'!L29,'2.1 LABOR STRUCTURE'!L31,'2.1 LABOR STRUCTURE'!L33)</f>
        <v>#N/A</v>
      </c>
      <c r="M28" s="378" t="e">
        <f>(M21*'2.1 LABOR STRUCTURE'!M23+M23*'2.1 LABOR STRUCTURE'!M25+M25*'2.1 LABOR STRUCTURE'!M27+#REF!*'2.1 LABOR STRUCTURE'!M29+#REF!*'2.1 LABOR STRUCTURE'!M31+#REF!*'2.1 LABOR STRUCTURE'!M33)/SUM('2.1 LABOR STRUCTURE'!M23,'2.1 LABOR STRUCTURE'!M25,'2.1 LABOR STRUCTURE'!M27,'2.1 LABOR STRUCTURE'!M29,'2.1 LABOR STRUCTURE'!M31,'2.1 LABOR STRUCTURE'!M33)</f>
        <v>#N/A</v>
      </c>
      <c r="N28" s="378" t="e">
        <f>(N21*'2.1 LABOR STRUCTURE'!N23+N23*'2.1 LABOR STRUCTURE'!N25+N25*'2.1 LABOR STRUCTURE'!N27+#REF!*'2.1 LABOR STRUCTURE'!N29+#REF!*'2.1 LABOR STRUCTURE'!N31+#REF!*'2.1 LABOR STRUCTURE'!N33)/SUM('2.1 LABOR STRUCTURE'!N23,'2.1 LABOR STRUCTURE'!N25,'2.1 LABOR STRUCTURE'!N27,'2.1 LABOR STRUCTURE'!N29,'2.1 LABOR STRUCTURE'!N31,'2.1 LABOR STRUCTURE'!N33)</f>
        <v>#N/A</v>
      </c>
      <c r="O28" s="378" t="e">
        <f>(O21*'2.1 LABOR STRUCTURE'!O23+O23*'2.1 LABOR STRUCTURE'!O25+O25*'2.1 LABOR STRUCTURE'!O27+#REF!*'2.1 LABOR STRUCTURE'!O29+#REF!*'2.1 LABOR STRUCTURE'!O31+#REF!*'2.1 LABOR STRUCTURE'!O33)/SUM('2.1 LABOR STRUCTURE'!O23,'2.1 LABOR STRUCTURE'!O25,'2.1 LABOR STRUCTURE'!O27,'2.1 LABOR STRUCTURE'!O29,'2.1 LABOR STRUCTURE'!O31,'2.1 LABOR STRUCTURE'!O33)</f>
        <v>#N/A</v>
      </c>
      <c r="P28" s="378" t="e">
        <f>(P21*'2.1 LABOR STRUCTURE'!P23+P23*'2.1 LABOR STRUCTURE'!P25+P25*'2.1 LABOR STRUCTURE'!P27+#REF!*'2.1 LABOR STRUCTURE'!P29+#REF!*'2.1 LABOR STRUCTURE'!P31+#REF!*'2.1 LABOR STRUCTURE'!P33)/SUM('2.1 LABOR STRUCTURE'!P23,'2.1 LABOR STRUCTURE'!P25,'2.1 LABOR STRUCTURE'!P27,'2.1 LABOR STRUCTURE'!P29,'2.1 LABOR STRUCTURE'!P31,'2.1 LABOR STRUCTURE'!P33)</f>
        <v>#N/A</v>
      </c>
      <c r="Q28" s="378" t="e">
        <f>(Q21*'2.1 LABOR STRUCTURE'!Q23+Q23*'2.1 LABOR STRUCTURE'!Q25+Q25*'2.1 LABOR STRUCTURE'!Q27+#REF!*'2.1 LABOR STRUCTURE'!Q29+#REF!*'2.1 LABOR STRUCTURE'!Q31+#REF!*'2.1 LABOR STRUCTURE'!Q33)/SUM('2.1 LABOR STRUCTURE'!Q23,'2.1 LABOR STRUCTURE'!Q25,'2.1 LABOR STRUCTURE'!Q27,'2.1 LABOR STRUCTURE'!Q29,'2.1 LABOR STRUCTURE'!Q31,'2.1 LABOR STRUCTURE'!Q33)</f>
        <v>#N/A</v>
      </c>
      <c r="R28" s="378" t="e">
        <f>(R21*'2.1 LABOR STRUCTURE'!R23+R23*'2.1 LABOR STRUCTURE'!R25+R25*'2.1 LABOR STRUCTURE'!R27+#REF!*'2.1 LABOR STRUCTURE'!R29+#REF!*'2.1 LABOR STRUCTURE'!R31+#REF!*'2.1 LABOR STRUCTURE'!R33)/SUM('2.1 LABOR STRUCTURE'!R23,'2.1 LABOR STRUCTURE'!R25,'2.1 LABOR STRUCTURE'!R27,'2.1 LABOR STRUCTURE'!R29,'2.1 LABOR STRUCTURE'!R31,'2.1 LABOR STRUCTURE'!R33)</f>
        <v>#N/A</v>
      </c>
      <c r="S28" s="378" t="e">
        <f>(S21*'2.1 LABOR STRUCTURE'!S23+S23*'2.1 LABOR STRUCTURE'!S25+S25*'2.1 LABOR STRUCTURE'!S27+#REF!*'2.1 LABOR STRUCTURE'!S29+#REF!*'2.1 LABOR STRUCTURE'!S31+#REF!*'2.1 LABOR STRUCTURE'!S33)/SUM('2.1 LABOR STRUCTURE'!S23,'2.1 LABOR STRUCTURE'!S25,'2.1 LABOR STRUCTURE'!S27,'2.1 LABOR STRUCTURE'!S29,'2.1 LABOR STRUCTURE'!S31,'2.1 LABOR STRUCTURE'!S33)</f>
        <v>#N/A</v>
      </c>
      <c r="T28" s="378">
        <f>(T21*'2.1 LABOR STRUCTURE'!T23+T23*'2.1 LABOR STRUCTURE'!T25+T25*'2.1 LABOR STRUCTURE'!T27)/SUM('2.1 LABOR STRUCTURE'!T23,'2.1 LABOR STRUCTURE'!T25,'2.1 LABOR STRUCTURE'!T27,'2.1 LABOR STRUCTURE'!T29,'2.1 LABOR STRUCTURE'!T31,'2.1 LABOR STRUCTURE'!T33)</f>
        <v>303.76604986321308</v>
      </c>
      <c r="U28" s="378" t="e">
        <f>(U21*'2.1 LABOR STRUCTURE'!U23+U23*'2.1 LABOR STRUCTURE'!U25+U25*'2.1 LABOR STRUCTURE'!U27)/SUM('2.1 LABOR STRUCTURE'!U23,'2.1 LABOR STRUCTURE'!U25,'2.1 LABOR STRUCTURE'!U27,'2.1 LABOR STRUCTURE'!U29,'2.1 LABOR STRUCTURE'!U31,'2.1 LABOR STRUCTURE'!U33)</f>
        <v>#N/A</v>
      </c>
      <c r="V28" s="378" t="e">
        <f>(V21*'2.1 LABOR STRUCTURE'!V23+V23*'2.1 LABOR STRUCTURE'!V25+V25*'2.1 LABOR STRUCTURE'!V27)/SUM('2.1 LABOR STRUCTURE'!V23,'2.1 LABOR STRUCTURE'!V25,'2.1 LABOR STRUCTURE'!V27,'2.1 LABOR STRUCTURE'!V29,'2.1 LABOR STRUCTURE'!V31,'2.1 LABOR STRUCTURE'!V33)</f>
        <v>#N/A</v>
      </c>
      <c r="W28" s="378" t="e">
        <f>(W21*'2.1 LABOR STRUCTURE'!W23+W23*'2.1 LABOR STRUCTURE'!W25+W25*'2.1 LABOR STRUCTURE'!W27)/SUM('2.1 LABOR STRUCTURE'!W23,'2.1 LABOR STRUCTURE'!W25,'2.1 LABOR STRUCTURE'!W27,'2.1 LABOR STRUCTURE'!W29,'2.1 LABOR STRUCTURE'!W31,'2.1 LABOR STRUCTURE'!W33)</f>
        <v>#N/A</v>
      </c>
      <c r="X28" s="378" t="e">
        <f>(X21*'2.1 LABOR STRUCTURE'!X23+X23*'2.1 LABOR STRUCTURE'!X25+X25*'2.1 LABOR STRUCTURE'!X27)/SUM('2.1 LABOR STRUCTURE'!X23,'2.1 LABOR STRUCTURE'!X25,'2.1 LABOR STRUCTURE'!X27,'2.1 LABOR STRUCTURE'!X29,'2.1 LABOR STRUCTURE'!X31,'2.1 LABOR STRUCTURE'!X33)</f>
        <v>#N/A</v>
      </c>
      <c r="Y28" s="378" t="e">
        <f>(Y21*'2.1 LABOR STRUCTURE'!Y23+Y23*'2.1 LABOR STRUCTURE'!Y25+Y25*'2.1 LABOR STRUCTURE'!Y27)/SUM('2.1 LABOR STRUCTURE'!Y23,'2.1 LABOR STRUCTURE'!Y25,'2.1 LABOR STRUCTURE'!Y27,'2.1 LABOR STRUCTURE'!Y29,'2.1 LABOR STRUCTURE'!Y31,'2.1 LABOR STRUCTURE'!Y33)</f>
        <v>#N/A</v>
      </c>
      <c r="Z28" s="378">
        <f>(Z21*'2.1 LABOR STRUCTURE'!Z23+Z23*'2.1 LABOR STRUCTURE'!Z25+Z25*'2.1 LABOR STRUCTURE'!Z27)/SUM('2.1 LABOR STRUCTURE'!Z23,'2.1 LABOR STRUCTURE'!Z25,'2.1 LABOR STRUCTURE'!Z27,'2.1 LABOR STRUCTURE'!Z29,'2.1 LABOR STRUCTURE'!Z31,'2.1 LABOR STRUCTURE'!Z33)</f>
        <v>524.89152186009312</v>
      </c>
      <c r="AA28" s="189">
        <f>(AA21*'2.1 LABOR STRUCTURE'!AA23+AA23*'2.1 LABOR STRUCTURE'!AA25+AA25*'2.1 LABOR STRUCTURE'!AA27)/SUM('2.1 LABOR STRUCTURE'!AA23,'2.1 LABOR STRUCTURE'!AA25,'2.1 LABOR STRUCTURE'!AA27,'2.1 LABOR STRUCTURE'!AA29,'2.1 LABOR STRUCTURE'!AA31,'2.1 LABOR STRUCTURE'!AA33)</f>
        <v>510.33907872943962</v>
      </c>
      <c r="AB28" s="189">
        <f>(AB21*'2.1 LABOR STRUCTURE'!AB23+AB23*'2.1 LABOR STRUCTURE'!AB25+AB25*'2.1 LABOR STRUCTURE'!AB27)/SUM('2.1 LABOR STRUCTURE'!AB23,'2.1 LABOR STRUCTURE'!AB25,'2.1 LABOR STRUCTURE'!AB27,'2.1 LABOR STRUCTURE'!AB29,'2.1 LABOR STRUCTURE'!AB31,'2.1 LABOR STRUCTURE'!AB33)</f>
        <v>501.30823982846124</v>
      </c>
      <c r="AC28" s="189">
        <f>(AC21*'2.1 LABOR STRUCTURE'!AC23+AC23*'2.1 LABOR STRUCTURE'!AC25+AC25*'2.1 LABOR STRUCTURE'!AC27)/SUM('2.1 LABOR STRUCTURE'!AC23,'2.1 LABOR STRUCTURE'!AC25,'2.1 LABOR STRUCTURE'!AC27,'2.1 LABOR STRUCTURE'!AC29,'2.1 LABOR STRUCTURE'!AC31,'2.1 LABOR STRUCTURE'!AC33)</f>
        <v>503.23089555194167</v>
      </c>
      <c r="AD28" s="189">
        <f>(AD21*'2.1 LABOR STRUCTURE'!AD23+AD23*'2.1 LABOR STRUCTURE'!AD25+AD25*'2.1 LABOR STRUCTURE'!AD27)/SUM('2.1 LABOR STRUCTURE'!AD23,'2.1 LABOR STRUCTURE'!AD25,'2.1 LABOR STRUCTURE'!AD27,'2.1 LABOR STRUCTURE'!AD29,'2.1 LABOR STRUCTURE'!AD31,'2.1 LABOR STRUCTURE'!AD33)</f>
        <v>512.68633975002967</v>
      </c>
      <c r="AF28" s="93" t="s">
        <v>501</v>
      </c>
      <c r="AK28" s="453"/>
      <c r="AL28" s="453"/>
      <c r="AM28" s="453"/>
      <c r="AN28" s="453"/>
      <c r="AX28" s="506"/>
      <c r="AY28" s="506"/>
      <c r="AZ28" s="506"/>
      <c r="BA28" s="506"/>
    </row>
    <row r="29" spans="1:53" x14ac:dyDescent="0.2">
      <c r="A29" s="88"/>
      <c r="B29" s="292"/>
      <c r="H29" s="379" t="s">
        <v>502</v>
      </c>
      <c r="I29" s="380" t="e">
        <f>(I22*'2.1 LABOR STRUCTURE'!I24+I24*'2.1 LABOR STRUCTURE'!I26+I26*'2.1 LABOR STRUCTURE'!I28+#REF!*'2.1 LABOR STRUCTURE'!I30+#REF!*'2.1 LABOR STRUCTURE'!I32+#REF!*'2.1 LABOR STRUCTURE'!I34)/SUM('2.1 LABOR STRUCTURE'!I24,'2.1 LABOR STRUCTURE'!I26,'2.1 LABOR STRUCTURE'!I28,'2.1 LABOR STRUCTURE'!I30,'2.1 LABOR STRUCTURE'!I32,'2.1 LABOR STRUCTURE'!I34)</f>
        <v>#N/A</v>
      </c>
      <c r="J29" s="380" t="e">
        <f>(J22*'2.1 LABOR STRUCTURE'!J24+J24*'2.1 LABOR STRUCTURE'!J26+J26*'2.1 LABOR STRUCTURE'!J28+#REF!*'2.1 LABOR STRUCTURE'!J30+#REF!*'2.1 LABOR STRUCTURE'!J32+#REF!*'2.1 LABOR STRUCTURE'!J34)/SUM('2.1 LABOR STRUCTURE'!J24,'2.1 LABOR STRUCTURE'!J26,'2.1 LABOR STRUCTURE'!J28,'2.1 LABOR STRUCTURE'!J30,'2.1 LABOR STRUCTURE'!J32,'2.1 LABOR STRUCTURE'!J34)</f>
        <v>#N/A</v>
      </c>
      <c r="K29" s="380" t="e">
        <f>(K22*'2.1 LABOR STRUCTURE'!K24+K24*'2.1 LABOR STRUCTURE'!K26+K26*'2.1 LABOR STRUCTURE'!K28+#REF!*'2.1 LABOR STRUCTURE'!K30+#REF!*'2.1 LABOR STRUCTURE'!K32+#REF!*'2.1 LABOR STRUCTURE'!K34)/SUM('2.1 LABOR STRUCTURE'!K24,'2.1 LABOR STRUCTURE'!K26,'2.1 LABOR STRUCTURE'!K28,'2.1 LABOR STRUCTURE'!K30,'2.1 LABOR STRUCTURE'!K32,'2.1 LABOR STRUCTURE'!K34)</f>
        <v>#N/A</v>
      </c>
      <c r="L29" s="380" t="e">
        <f>(L22*'2.1 LABOR STRUCTURE'!L24+L24*'2.1 LABOR STRUCTURE'!L26+L26*'2.1 LABOR STRUCTURE'!L28+#REF!*'2.1 LABOR STRUCTURE'!L30+#REF!*'2.1 LABOR STRUCTURE'!L32+#REF!*'2.1 LABOR STRUCTURE'!L34)/SUM('2.1 LABOR STRUCTURE'!L24,'2.1 LABOR STRUCTURE'!L26,'2.1 LABOR STRUCTURE'!L28,'2.1 LABOR STRUCTURE'!L30,'2.1 LABOR STRUCTURE'!L32,'2.1 LABOR STRUCTURE'!L34)</f>
        <v>#N/A</v>
      </c>
      <c r="M29" s="380" t="e">
        <f>(M22*'2.1 LABOR STRUCTURE'!M24+M24*'2.1 LABOR STRUCTURE'!M26+M26*'2.1 LABOR STRUCTURE'!M28+#REF!*'2.1 LABOR STRUCTURE'!M30+#REF!*'2.1 LABOR STRUCTURE'!M32+#REF!*'2.1 LABOR STRUCTURE'!M34)/SUM('2.1 LABOR STRUCTURE'!M24,'2.1 LABOR STRUCTURE'!M26,'2.1 LABOR STRUCTURE'!M28,'2.1 LABOR STRUCTURE'!M30,'2.1 LABOR STRUCTURE'!M32,'2.1 LABOR STRUCTURE'!M34)</f>
        <v>#N/A</v>
      </c>
      <c r="N29" s="380" t="e">
        <f>(N22*'2.1 LABOR STRUCTURE'!N24+N24*'2.1 LABOR STRUCTURE'!N26+N26*'2.1 LABOR STRUCTURE'!N28+#REF!*'2.1 LABOR STRUCTURE'!N30+#REF!*'2.1 LABOR STRUCTURE'!N32+#REF!*'2.1 LABOR STRUCTURE'!N34)/SUM('2.1 LABOR STRUCTURE'!N24,'2.1 LABOR STRUCTURE'!N26,'2.1 LABOR STRUCTURE'!N28,'2.1 LABOR STRUCTURE'!N30,'2.1 LABOR STRUCTURE'!N32,'2.1 LABOR STRUCTURE'!N34)</f>
        <v>#N/A</v>
      </c>
      <c r="O29" s="380" t="e">
        <f>(O22*'2.1 LABOR STRUCTURE'!O24+O24*'2.1 LABOR STRUCTURE'!O26+O26*'2.1 LABOR STRUCTURE'!O28+#REF!*'2.1 LABOR STRUCTURE'!O30+#REF!*'2.1 LABOR STRUCTURE'!O32+#REF!*'2.1 LABOR STRUCTURE'!O34)/SUM('2.1 LABOR STRUCTURE'!O24,'2.1 LABOR STRUCTURE'!O26,'2.1 LABOR STRUCTURE'!O28,'2.1 LABOR STRUCTURE'!O30,'2.1 LABOR STRUCTURE'!O32,'2.1 LABOR STRUCTURE'!O34)</f>
        <v>#N/A</v>
      </c>
      <c r="P29" s="380" t="e">
        <f>(P22*'2.1 LABOR STRUCTURE'!P24+P24*'2.1 LABOR STRUCTURE'!P26+P26*'2.1 LABOR STRUCTURE'!P28+#REF!*'2.1 LABOR STRUCTURE'!P30+#REF!*'2.1 LABOR STRUCTURE'!P32+#REF!*'2.1 LABOR STRUCTURE'!P34)/SUM('2.1 LABOR STRUCTURE'!P24,'2.1 LABOR STRUCTURE'!P26,'2.1 LABOR STRUCTURE'!P28,'2.1 LABOR STRUCTURE'!P30,'2.1 LABOR STRUCTURE'!P32,'2.1 LABOR STRUCTURE'!P34)</f>
        <v>#N/A</v>
      </c>
      <c r="Q29" s="380" t="e">
        <f>(Q22*'2.1 LABOR STRUCTURE'!Q24+Q24*'2.1 LABOR STRUCTURE'!Q26+Q26*'2.1 LABOR STRUCTURE'!Q28+#REF!*'2.1 LABOR STRUCTURE'!Q30+#REF!*'2.1 LABOR STRUCTURE'!Q32+#REF!*'2.1 LABOR STRUCTURE'!Q34)/SUM('2.1 LABOR STRUCTURE'!Q24,'2.1 LABOR STRUCTURE'!Q26,'2.1 LABOR STRUCTURE'!Q28,'2.1 LABOR STRUCTURE'!Q30,'2.1 LABOR STRUCTURE'!Q32,'2.1 LABOR STRUCTURE'!Q34)</f>
        <v>#N/A</v>
      </c>
      <c r="R29" s="380" t="e">
        <f>(R22*'2.1 LABOR STRUCTURE'!R24+R24*'2.1 LABOR STRUCTURE'!R26+R26*'2.1 LABOR STRUCTURE'!R28+#REF!*'2.1 LABOR STRUCTURE'!R30+#REF!*'2.1 LABOR STRUCTURE'!R32+#REF!*'2.1 LABOR STRUCTURE'!R34)/SUM('2.1 LABOR STRUCTURE'!R24,'2.1 LABOR STRUCTURE'!R26,'2.1 LABOR STRUCTURE'!R28,'2.1 LABOR STRUCTURE'!R30,'2.1 LABOR STRUCTURE'!R32,'2.1 LABOR STRUCTURE'!R34)</f>
        <v>#N/A</v>
      </c>
      <c r="S29" s="380" t="e">
        <f>(S22*'2.1 LABOR STRUCTURE'!S24+S24*'2.1 LABOR STRUCTURE'!S26+S26*'2.1 LABOR STRUCTURE'!S28+#REF!*'2.1 LABOR STRUCTURE'!S30+#REF!*'2.1 LABOR STRUCTURE'!S32+#REF!*'2.1 LABOR STRUCTURE'!S34)/SUM('2.1 LABOR STRUCTURE'!S24,'2.1 LABOR STRUCTURE'!S26,'2.1 LABOR STRUCTURE'!S28,'2.1 LABOR STRUCTURE'!S30,'2.1 LABOR STRUCTURE'!S32,'2.1 LABOR STRUCTURE'!S34)</f>
        <v>#N/A</v>
      </c>
      <c r="T29" s="380">
        <f>(T22*'2.1 LABOR STRUCTURE'!T24+T24*'2.1 LABOR STRUCTURE'!T26+T26*'2.1 LABOR STRUCTURE'!T28)/SUM('2.1 LABOR STRUCTURE'!T24,'2.1 LABOR STRUCTURE'!T26,'2.1 LABOR STRUCTURE'!T28,'2.1 LABOR STRUCTURE'!T30,'2.1 LABOR STRUCTURE'!T32,'2.1 LABOR STRUCTURE'!T34)</f>
        <v>343.58297921273379</v>
      </c>
      <c r="U29" s="380" t="e">
        <f>(U22*'2.1 LABOR STRUCTURE'!U24+U24*'2.1 LABOR STRUCTURE'!U26+U26*'2.1 LABOR STRUCTURE'!U28)/SUM('2.1 LABOR STRUCTURE'!U24,'2.1 LABOR STRUCTURE'!U26,'2.1 LABOR STRUCTURE'!U28,'2.1 LABOR STRUCTURE'!U30,'2.1 LABOR STRUCTURE'!U32,'2.1 LABOR STRUCTURE'!U34)</f>
        <v>#N/A</v>
      </c>
      <c r="V29" s="380" t="e">
        <f>(V22*'2.1 LABOR STRUCTURE'!V24+V24*'2.1 LABOR STRUCTURE'!V26+V26*'2.1 LABOR STRUCTURE'!V28)/SUM('2.1 LABOR STRUCTURE'!V24,'2.1 LABOR STRUCTURE'!V26,'2.1 LABOR STRUCTURE'!V28,'2.1 LABOR STRUCTURE'!V30,'2.1 LABOR STRUCTURE'!V32,'2.1 LABOR STRUCTURE'!V34)</f>
        <v>#N/A</v>
      </c>
      <c r="W29" s="380" t="e">
        <f>(W22*'2.1 LABOR STRUCTURE'!W24+W24*'2.1 LABOR STRUCTURE'!W26+W26*'2.1 LABOR STRUCTURE'!W28)/SUM('2.1 LABOR STRUCTURE'!W24,'2.1 LABOR STRUCTURE'!W26,'2.1 LABOR STRUCTURE'!W28,'2.1 LABOR STRUCTURE'!W30,'2.1 LABOR STRUCTURE'!W32,'2.1 LABOR STRUCTURE'!W34)</f>
        <v>#N/A</v>
      </c>
      <c r="X29" s="380" t="e">
        <f>(X22*'2.1 LABOR STRUCTURE'!X24+X24*'2.1 LABOR STRUCTURE'!X26+X26*'2.1 LABOR STRUCTURE'!X28)/SUM('2.1 LABOR STRUCTURE'!X24,'2.1 LABOR STRUCTURE'!X26,'2.1 LABOR STRUCTURE'!X28,'2.1 LABOR STRUCTURE'!X30,'2.1 LABOR STRUCTURE'!X32,'2.1 LABOR STRUCTURE'!X34)</f>
        <v>#N/A</v>
      </c>
      <c r="Y29" s="380" t="e">
        <f>(Y22*'2.1 LABOR STRUCTURE'!Y24+Y24*'2.1 LABOR STRUCTURE'!Y26+Y26*'2.1 LABOR STRUCTURE'!Y28)/SUM('2.1 LABOR STRUCTURE'!Y24,'2.1 LABOR STRUCTURE'!Y26,'2.1 LABOR STRUCTURE'!Y28,'2.1 LABOR STRUCTURE'!Y30,'2.1 LABOR STRUCTURE'!Y32,'2.1 LABOR STRUCTURE'!Y34)</f>
        <v>#N/A</v>
      </c>
      <c r="Z29" s="380">
        <f>(Z22*'2.1 LABOR STRUCTURE'!Z24+Z24*'2.1 LABOR STRUCTURE'!Z26+Z26*'2.1 LABOR STRUCTURE'!Z28)/SUM('2.1 LABOR STRUCTURE'!Z24,'2.1 LABOR STRUCTURE'!Z26,'2.1 LABOR STRUCTURE'!Z28,'2.1 LABOR STRUCTURE'!Z30,'2.1 LABOR STRUCTURE'!Z32,'2.1 LABOR STRUCTURE'!Z34)</f>
        <v>739.96695524785002</v>
      </c>
      <c r="AA29" s="190">
        <f>(AA22*'2.1 LABOR STRUCTURE'!AA24+AA24*'2.1 LABOR STRUCTURE'!AA26+AA26*'2.1 LABOR STRUCTURE'!AA28)/SUM('2.1 LABOR STRUCTURE'!AA24,'2.1 LABOR STRUCTURE'!AA26,'2.1 LABOR STRUCTURE'!AA28,'2.1 LABOR STRUCTURE'!AA30,'2.1 LABOR STRUCTURE'!AA32,'2.1 LABOR STRUCTURE'!AA34)</f>
        <v>748.61382922454618</v>
      </c>
      <c r="AB29" s="190">
        <f>(AB22*'2.1 LABOR STRUCTURE'!AB24+AB24*'2.1 LABOR STRUCTURE'!AB26+AB26*'2.1 LABOR STRUCTURE'!AB28)/SUM('2.1 LABOR STRUCTURE'!AB24,'2.1 LABOR STRUCTURE'!AB26,'2.1 LABOR STRUCTURE'!AB28,'2.1 LABOR STRUCTURE'!AB30,'2.1 LABOR STRUCTURE'!AB32,'2.1 LABOR STRUCTURE'!AB34)</f>
        <v>749.55508852258038</v>
      </c>
      <c r="AC29" s="190">
        <f>(AC22*'2.1 LABOR STRUCTURE'!AC24+AC24*'2.1 LABOR STRUCTURE'!AC26+AC26*'2.1 LABOR STRUCTURE'!AC28)/SUM('2.1 LABOR STRUCTURE'!AC24,'2.1 LABOR STRUCTURE'!AC26,'2.1 LABOR STRUCTURE'!AC28,'2.1 LABOR STRUCTURE'!AC30,'2.1 LABOR STRUCTURE'!AC32,'2.1 LABOR STRUCTURE'!AC34)</f>
        <v>754.8236655326624</v>
      </c>
      <c r="AD29" s="190">
        <f>(AD22*'2.1 LABOR STRUCTURE'!AD24+AD24*'2.1 LABOR STRUCTURE'!AD26+AD26*'2.1 LABOR STRUCTURE'!AD28)/SUM('2.1 LABOR STRUCTURE'!AD24,'2.1 LABOR STRUCTURE'!AD26,'2.1 LABOR STRUCTURE'!AD28,'2.1 LABOR STRUCTURE'!AD30,'2.1 LABOR STRUCTURE'!AD32,'2.1 LABOR STRUCTURE'!AD34)</f>
        <v>760.39036555995335</v>
      </c>
      <c r="AF29" s="93" t="s">
        <v>502</v>
      </c>
      <c r="AX29" s="506"/>
      <c r="AY29" s="506"/>
      <c r="AZ29" s="506"/>
      <c r="BA29" s="506"/>
    </row>
    <row r="30" spans="1:53" x14ac:dyDescent="0.2">
      <c r="A30" s="88"/>
      <c r="B30" s="292"/>
      <c r="H30" s="93"/>
      <c r="I30" s="93"/>
      <c r="J30" s="93"/>
      <c r="K30" s="93"/>
      <c r="L30" s="93"/>
      <c r="M30" s="93"/>
      <c r="N30" s="93"/>
      <c r="O30" s="93"/>
      <c r="P30" s="93"/>
      <c r="Q30" s="93"/>
      <c r="R30" s="93"/>
      <c r="S30" s="93"/>
      <c r="T30" s="93"/>
      <c r="U30" s="93"/>
      <c r="V30" s="93"/>
      <c r="W30" s="93"/>
      <c r="X30" s="93"/>
      <c r="Y30" s="93"/>
      <c r="Z30" s="384"/>
      <c r="AA30" s="587" t="s">
        <v>160</v>
      </c>
      <c r="AB30" s="587"/>
      <c r="AC30" s="587"/>
      <c r="AD30" s="587"/>
      <c r="AK30" s="453"/>
      <c r="AL30" s="453"/>
      <c r="AM30" s="453"/>
      <c r="AN30" s="453"/>
      <c r="AX30" s="453"/>
      <c r="AY30" s="453"/>
      <c r="AZ30" s="453"/>
      <c r="BA30" s="453"/>
    </row>
    <row r="31" spans="1:53" x14ac:dyDescent="0.2">
      <c r="A31" s="88"/>
      <c r="B31" s="292"/>
      <c r="H31" s="373" t="s">
        <v>220</v>
      </c>
      <c r="I31" s="93"/>
      <c r="J31" s="93"/>
      <c r="K31" s="93"/>
      <c r="L31" s="93"/>
      <c r="M31" s="93"/>
      <c r="N31" s="93"/>
      <c r="O31" s="93"/>
      <c r="P31" s="93"/>
      <c r="Q31" s="93"/>
      <c r="R31" s="93"/>
      <c r="S31" s="93"/>
      <c r="T31" s="93"/>
      <c r="U31" s="93"/>
      <c r="V31" s="93"/>
      <c r="W31" s="93"/>
      <c r="X31" s="93"/>
      <c r="Y31" s="93"/>
      <c r="Z31" s="93"/>
      <c r="AA31" s="93"/>
      <c r="AB31" s="93"/>
      <c r="AC31" s="93"/>
      <c r="AD31" s="93"/>
    </row>
    <row r="32" spans="1:53" ht="15" customHeight="1" x14ac:dyDescent="0.2">
      <c r="A32" s="88"/>
      <c r="B32" s="292"/>
      <c r="H32" s="93"/>
      <c r="I32" s="93"/>
      <c r="J32" s="93"/>
      <c r="K32" s="93"/>
      <c r="L32" s="93"/>
      <c r="M32" s="93"/>
      <c r="N32" s="93"/>
      <c r="O32" s="93"/>
      <c r="P32" s="93"/>
      <c r="Q32" s="93"/>
      <c r="R32" s="93"/>
      <c r="S32" s="93"/>
      <c r="T32" s="93"/>
      <c r="U32" s="93"/>
      <c r="V32" s="93"/>
      <c r="W32" s="93"/>
      <c r="X32" s="93"/>
      <c r="Y32" s="93"/>
      <c r="Z32" s="590" t="s">
        <v>221</v>
      </c>
      <c r="AA32" s="590"/>
      <c r="AB32" s="591" t="s">
        <v>55</v>
      </c>
      <c r="AC32" s="591"/>
      <c r="AD32" s="187" t="s">
        <v>164</v>
      </c>
      <c r="AF32" s="453"/>
      <c r="AK32" s="453"/>
      <c r="AL32" s="453"/>
      <c r="AM32" s="453"/>
      <c r="AN32" s="453"/>
    </row>
    <row r="33" spans="1:40" ht="15" customHeight="1" x14ac:dyDescent="0.2">
      <c r="A33" s="88" t="s">
        <v>523</v>
      </c>
      <c r="B33" s="292"/>
      <c r="H33" s="374" t="s">
        <v>167</v>
      </c>
      <c r="I33" s="93"/>
      <c r="J33" s="93"/>
      <c r="K33" s="93"/>
      <c r="L33" s="93"/>
      <c r="M33" s="93"/>
      <c r="N33" s="93"/>
      <c r="O33" s="93"/>
      <c r="P33" s="93"/>
      <c r="Q33" s="93"/>
      <c r="R33" s="93"/>
      <c r="S33" s="93"/>
      <c r="T33" s="93"/>
      <c r="U33" s="93"/>
      <c r="V33" s="93"/>
      <c r="W33" s="93"/>
      <c r="X33" s="93"/>
      <c r="Y33" s="93"/>
      <c r="Z33" s="590"/>
      <c r="AA33" s="590"/>
      <c r="AB33" s="187" t="s">
        <v>166</v>
      </c>
      <c r="AC33" s="188" t="s">
        <v>381</v>
      </c>
      <c r="AD33" s="187" t="s">
        <v>382</v>
      </c>
      <c r="AF33" s="453"/>
    </row>
    <row r="34" spans="1:40" x14ac:dyDescent="0.2">
      <c r="A34" s="88"/>
      <c r="B34" s="292"/>
      <c r="H34" s="585" t="s">
        <v>222</v>
      </c>
      <c r="I34" s="93"/>
      <c r="J34" s="93"/>
      <c r="K34" s="93"/>
      <c r="L34" s="93"/>
      <c r="M34" s="93"/>
      <c r="N34" s="93"/>
      <c r="O34" s="93"/>
      <c r="P34" s="93"/>
      <c r="Q34" s="93"/>
      <c r="R34" s="93"/>
      <c r="S34" s="93"/>
      <c r="T34" s="93"/>
      <c r="U34" s="93"/>
      <c r="V34" s="93"/>
      <c r="W34" s="93"/>
      <c r="X34" s="93"/>
      <c r="Y34" s="93"/>
      <c r="Z34" s="588" t="s">
        <v>145</v>
      </c>
      <c r="AA34" s="588"/>
      <c r="AB34" s="244">
        <f>AVERAGE(Z21:AB21)</f>
        <v>278.06947200041492</v>
      </c>
      <c r="AC34" s="244">
        <f>AVERAGE(AA21:AC21)</f>
        <v>269.99248426233765</v>
      </c>
      <c r="AD34" s="381">
        <f>AVERAGE(AB21:AD21)</f>
        <v>270.59039881284906</v>
      </c>
      <c r="AF34" s="453"/>
    </row>
    <row r="35" spans="1:40" x14ac:dyDescent="0.2">
      <c r="A35" s="88"/>
      <c r="H35" s="585"/>
      <c r="I35" s="93"/>
      <c r="J35" s="93"/>
      <c r="K35" s="93"/>
      <c r="L35" s="93"/>
      <c r="M35" s="93"/>
      <c r="N35" s="93"/>
      <c r="O35" s="93"/>
      <c r="P35" s="93"/>
      <c r="Q35" s="93"/>
      <c r="R35" s="93"/>
      <c r="S35" s="93"/>
      <c r="T35" s="93"/>
      <c r="U35" s="93"/>
      <c r="V35" s="93"/>
      <c r="W35" s="93"/>
      <c r="X35" s="93"/>
      <c r="Y35" s="93"/>
      <c r="Z35" s="588" t="s">
        <v>146</v>
      </c>
      <c r="AA35" s="588"/>
      <c r="AB35" s="244">
        <f t="shared" ref="AB35:AD42" si="26">AVERAGE(Z22:AB22)</f>
        <v>401.32405968753727</v>
      </c>
      <c r="AC35" s="244">
        <f t="shared" si="26"/>
        <v>405.1044509479002</v>
      </c>
      <c r="AD35" s="381">
        <f t="shared" si="26"/>
        <v>407.44864412517842</v>
      </c>
      <c r="AF35" s="453"/>
      <c r="AK35" s="453"/>
      <c r="AL35" s="453"/>
      <c r="AM35" s="453"/>
      <c r="AN35" s="453"/>
    </row>
    <row r="36" spans="1:40" x14ac:dyDescent="0.2">
      <c r="H36" s="585"/>
      <c r="I36" s="93"/>
      <c r="J36" s="93"/>
      <c r="K36" s="93"/>
      <c r="L36" s="93"/>
      <c r="M36" s="93"/>
      <c r="N36" s="93"/>
      <c r="O36" s="93"/>
      <c r="P36" s="93"/>
      <c r="Q36" s="93"/>
      <c r="R36" s="93"/>
      <c r="S36" s="93"/>
      <c r="T36" s="93"/>
      <c r="U36" s="93"/>
      <c r="V36" s="93"/>
      <c r="W36" s="93"/>
      <c r="X36" s="93"/>
      <c r="Y36" s="93"/>
      <c r="Z36" s="588" t="s">
        <v>147</v>
      </c>
      <c r="AA36" s="588"/>
      <c r="AB36" s="244">
        <f t="shared" si="26"/>
        <v>590.9146912305855</v>
      </c>
      <c r="AC36" s="244">
        <f t="shared" si="26"/>
        <v>577.80439299689795</v>
      </c>
      <c r="AD36" s="381">
        <f t="shared" si="26"/>
        <v>576.69017259722068</v>
      </c>
      <c r="AF36" s="453"/>
    </row>
    <row r="37" spans="1:40" x14ac:dyDescent="0.2">
      <c r="H37" s="585"/>
      <c r="I37" s="93"/>
      <c r="J37" s="93"/>
      <c r="K37" s="93"/>
      <c r="L37" s="93"/>
      <c r="M37" s="93"/>
      <c r="N37" s="93"/>
      <c r="O37" s="93"/>
      <c r="P37" s="93"/>
      <c r="Q37" s="93"/>
      <c r="R37" s="93"/>
      <c r="S37" s="93"/>
      <c r="T37" s="93"/>
      <c r="U37" s="93"/>
      <c r="V37" s="93"/>
      <c r="W37" s="93"/>
      <c r="X37" s="93"/>
      <c r="Y37" s="93"/>
      <c r="Z37" s="588" t="s">
        <v>148</v>
      </c>
      <c r="AA37" s="588"/>
      <c r="AB37" s="244">
        <f t="shared" si="26"/>
        <v>862.36946785797454</v>
      </c>
      <c r="AC37" s="244">
        <f t="shared" si="26"/>
        <v>861.80583937456288</v>
      </c>
      <c r="AD37" s="381">
        <f t="shared" si="26"/>
        <v>864.71367311975291</v>
      </c>
      <c r="AF37" s="453"/>
    </row>
    <row r="38" spans="1:40" s="93" customFormat="1" x14ac:dyDescent="0.2">
      <c r="A38" s="37"/>
      <c r="B38" s="115"/>
      <c r="C38" s="115"/>
      <c r="D38" s="115"/>
      <c r="H38" s="585"/>
      <c r="Z38" s="588" t="s">
        <v>150</v>
      </c>
      <c r="AA38" s="588"/>
      <c r="AB38" s="244">
        <f t="shared" si="26"/>
        <v>497.68478832514666</v>
      </c>
      <c r="AC38" s="244">
        <f t="shared" si="26"/>
        <v>494.83570707257098</v>
      </c>
      <c r="AD38" s="381">
        <f t="shared" si="26"/>
        <v>496.88709164137362</v>
      </c>
      <c r="AF38" s="453"/>
    </row>
    <row r="39" spans="1:40" s="93" customFormat="1" x14ac:dyDescent="0.2">
      <c r="A39" s="115"/>
      <c r="B39" s="115"/>
      <c r="C39" s="115"/>
      <c r="D39" s="115"/>
      <c r="Z39" s="588" t="s">
        <v>152</v>
      </c>
      <c r="AA39" s="588"/>
      <c r="AB39" s="244">
        <f t="shared" si="26"/>
        <v>1198.7900203502625</v>
      </c>
      <c r="AC39" s="244">
        <f t="shared" si="26"/>
        <v>1199.3497945268336</v>
      </c>
      <c r="AD39" s="381">
        <f t="shared" si="26"/>
        <v>1203.3541575986887</v>
      </c>
      <c r="AF39" s="453"/>
    </row>
    <row r="40" spans="1:40" s="93" customFormat="1" x14ac:dyDescent="0.2">
      <c r="A40" s="115"/>
      <c r="B40" s="115"/>
      <c r="C40" s="115"/>
      <c r="D40" s="115"/>
      <c r="Z40" s="592" t="s">
        <v>199</v>
      </c>
      <c r="AA40" s="592"/>
      <c r="AB40" s="245">
        <f t="shared" si="26"/>
        <v>640.80682984108648</v>
      </c>
      <c r="AC40" s="245">
        <f t="shared" si="26"/>
        <v>639.96055131831281</v>
      </c>
      <c r="AD40" s="382">
        <f t="shared" si="26"/>
        <v>642.34575716774577</v>
      </c>
      <c r="AF40" s="453"/>
    </row>
    <row r="41" spans="1:40" s="93" customFormat="1" x14ac:dyDescent="0.2">
      <c r="A41" s="115"/>
      <c r="B41" s="115"/>
      <c r="C41" s="115"/>
      <c r="D41" s="115"/>
      <c r="Z41" s="592" t="s">
        <v>218</v>
      </c>
      <c r="AA41" s="592"/>
      <c r="AB41" s="245">
        <f t="shared" si="26"/>
        <v>512.17961347266464</v>
      </c>
      <c r="AC41" s="245">
        <f t="shared" si="26"/>
        <v>504.95940470328088</v>
      </c>
      <c r="AD41" s="382">
        <f t="shared" si="26"/>
        <v>505.74182504347755</v>
      </c>
    </row>
    <row r="42" spans="1:40" s="93" customFormat="1" ht="14.1" customHeight="1" x14ac:dyDescent="0.2">
      <c r="A42" s="115"/>
      <c r="B42" s="115"/>
      <c r="C42" s="115"/>
      <c r="D42" s="115"/>
      <c r="Z42" s="589" t="s">
        <v>219</v>
      </c>
      <c r="AA42" s="589"/>
      <c r="AB42" s="246">
        <f t="shared" si="26"/>
        <v>746.04529099832553</v>
      </c>
      <c r="AC42" s="246">
        <f t="shared" si="26"/>
        <v>750.99752775992965</v>
      </c>
      <c r="AD42" s="383">
        <f t="shared" si="26"/>
        <v>754.92303987173216</v>
      </c>
    </row>
    <row r="43" spans="1:40" s="93" customFormat="1" x14ac:dyDescent="0.2">
      <c r="A43" s="115"/>
      <c r="B43" s="115"/>
      <c r="C43" s="115"/>
      <c r="D43" s="115"/>
    </row>
    <row r="44" spans="1:40" hidden="1" x14ac:dyDescent="0.2">
      <c r="A44" s="115"/>
      <c r="H44" s="93"/>
      <c r="I44" s="93"/>
      <c r="J44" s="93"/>
      <c r="K44" s="93"/>
      <c r="L44" s="93"/>
      <c r="M44" s="93"/>
      <c r="N44" s="93"/>
      <c r="O44" s="93"/>
      <c r="P44" s="93"/>
      <c r="Q44" s="93"/>
      <c r="R44" s="93"/>
      <c r="S44" s="93"/>
      <c r="T44" s="93"/>
      <c r="U44" s="93"/>
      <c r="V44" s="93"/>
      <c r="W44" s="93"/>
      <c r="X44" s="93"/>
      <c r="Y44" s="93"/>
      <c r="Z44" s="93"/>
      <c r="AA44" s="93"/>
      <c r="AB44" s="93"/>
      <c r="AC44" s="93"/>
      <c r="AD4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Z42:AA42"/>
    <mergeCell ref="Z32:AA33"/>
    <mergeCell ref="AB32:AC32"/>
    <mergeCell ref="Z37:AA37"/>
    <mergeCell ref="Z38:AA38"/>
    <mergeCell ref="Z39:AA39"/>
    <mergeCell ref="Z40:AA40"/>
    <mergeCell ref="Z41:AA41"/>
    <mergeCell ref="H34:H38"/>
    <mergeCell ref="C13:D15"/>
    <mergeCell ref="E14:E15"/>
    <mergeCell ref="H17:AD17"/>
    <mergeCell ref="H19:H20"/>
    <mergeCell ref="AA30:AD30"/>
    <mergeCell ref="Z34:AA34"/>
    <mergeCell ref="Z35:AA35"/>
    <mergeCell ref="Z36:AA36"/>
    <mergeCell ref="AB19:AD19"/>
    <mergeCell ref="C11:D12"/>
    <mergeCell ref="C2:E2"/>
    <mergeCell ref="H2:BA2"/>
    <mergeCell ref="C4:E4"/>
    <mergeCell ref="H4:BA4"/>
    <mergeCell ref="C5:E6"/>
    <mergeCell ref="C7:D8"/>
    <mergeCell ref="C9:D10"/>
    <mergeCell ref="E9:E10"/>
    <mergeCell ref="H5:BA5"/>
    <mergeCell ref="AF7:AF8"/>
    <mergeCell ref="H7:H8"/>
    <mergeCell ref="AB7:AD7"/>
    <mergeCell ref="AY7:BA7"/>
  </mergeCells>
  <conditionalFormatting sqref="AB27:AD29 AA21:AD26">
    <cfRule type="expression" dxfId="21" priority="57">
      <formula>AA21/Z21&gt;1.25</formula>
    </cfRule>
    <cfRule type="expression" dxfId="20" priority="58">
      <formula>AA21/Z21&lt;-1.25</formula>
    </cfRule>
  </conditionalFormatting>
  <conditionalFormatting sqref="Y3:AC3 Y14:AC15 AD32 Z16:AC16 AB32:AB42 AB55:AC1048576 Y54:AA1048576 AY8:BA8 AB19 AA21:AD26 AB20:AD29">
    <cfRule type="containsBlanks" priority="56">
      <formula>LEN(TRIM(Y3))=0</formula>
    </cfRule>
  </conditionalFormatting>
  <conditionalFormatting sqref="AY8:BA8 AA21:AD26 AB20:AD29">
    <cfRule type="cellIs" dxfId="19" priority="55" operator="lessThanOrEqual">
      <formula>0</formula>
    </cfRule>
  </conditionalFormatting>
  <conditionalFormatting sqref="AC34:AD42">
    <cfRule type="containsBlanks" priority="54">
      <formula>LEN(TRIM(AC34))=0</formula>
    </cfRule>
  </conditionalFormatting>
  <conditionalFormatting sqref="AD33">
    <cfRule type="expression" dxfId="18" priority="53">
      <formula>$AD34&lt;0</formula>
    </cfRule>
  </conditionalFormatting>
  <conditionalFormatting sqref="Z32 Z34:Z42">
    <cfRule type="containsBlanks" priority="22">
      <formula>LEN(TRIM(Z32))=0</formula>
    </cfRule>
  </conditionalFormatting>
  <conditionalFormatting sqref="AA21">
    <cfRule type="expression" dxfId="17" priority="15">
      <formula>AA21/Z21&gt;1.25</formula>
    </cfRule>
    <cfRule type="expression" dxfId="16" priority="16">
      <formula>AA21/Z21&lt;-1.25</formula>
    </cfRule>
  </conditionalFormatting>
  <conditionalFormatting sqref="AA21">
    <cfRule type="containsBlanks" priority="14">
      <formula>LEN(TRIM(AA21))=0</formula>
    </cfRule>
  </conditionalFormatting>
  <conditionalFormatting sqref="AA21">
    <cfRule type="cellIs" dxfId="15" priority="13" operator="lessThanOrEqual">
      <formula>0</formula>
    </cfRule>
  </conditionalFormatting>
  <conditionalFormatting sqref="AA27">
    <cfRule type="expression" dxfId="14" priority="11">
      <formula>AA27/Z27&gt;1.25</formula>
    </cfRule>
    <cfRule type="expression" dxfId="13" priority="12">
      <formula>AA27/Z27&lt;-1.25</formula>
    </cfRule>
  </conditionalFormatting>
  <conditionalFormatting sqref="AA27">
    <cfRule type="containsBlanks" priority="10">
      <formula>LEN(TRIM(AA27))=0</formula>
    </cfRule>
  </conditionalFormatting>
  <conditionalFormatting sqref="AA27">
    <cfRule type="cellIs" dxfId="12" priority="9" operator="lessThanOrEqual">
      <formula>0</formula>
    </cfRule>
  </conditionalFormatting>
  <conditionalFormatting sqref="AA28">
    <cfRule type="expression" dxfId="11" priority="7">
      <formula>AA28/Z28&gt;1.25</formula>
    </cfRule>
    <cfRule type="expression" dxfId="10" priority="8">
      <formula>AA28/Z28&lt;-1.25</formula>
    </cfRule>
  </conditionalFormatting>
  <conditionalFormatting sqref="AA28">
    <cfRule type="containsBlanks" priority="6">
      <formula>LEN(TRIM(AA28))=0</formula>
    </cfRule>
  </conditionalFormatting>
  <conditionalFormatting sqref="AA28">
    <cfRule type="cellIs" dxfId="9" priority="5" operator="lessThanOrEqual">
      <formula>0</formula>
    </cfRule>
  </conditionalFormatting>
  <conditionalFormatting sqref="AA29">
    <cfRule type="expression" dxfId="8" priority="3">
      <formula>AA29/Z29&gt;1.25</formula>
    </cfRule>
    <cfRule type="expression" dxfId="7" priority="4">
      <formula>AA29/Z29&lt;-1.25</formula>
    </cfRule>
  </conditionalFormatting>
  <conditionalFormatting sqref="AA29">
    <cfRule type="containsBlanks" priority="2">
      <formula>LEN(TRIM(AA29))=0</formula>
    </cfRule>
  </conditionalFormatting>
  <conditionalFormatting sqref="AA2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3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I$20='0. GUIDELINES'!$E$4</xm:f>
            <x14:dxf>
              <font>
                <color auto="1"/>
              </font>
              <fill>
                <patternFill>
                  <bgColor theme="9" tint="0.79998168889431442"/>
                </patternFill>
              </fill>
            </x14:dxf>
          </x14:cfRule>
          <xm:sqref>I20:AA20 I9:Z13 I21:Z21 I27:Z29 I22:AA26</xm:sqref>
        </x14:conditionalFormatting>
        <x14:conditionalFormatting xmlns:xm="http://schemas.microsoft.com/office/excel/2006/main">
          <x14:cfRule type="expression" priority="31" id="{78EEB5B0-FB05-4E39-94F0-FB8A2EE07774}">
            <xm:f>I$20='0.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AG$20='0.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AG7:AX13</xm:sqref>
        </x14:conditionalFormatting>
        <x14:conditionalFormatting xmlns:xm="http://schemas.microsoft.com/office/excel/2006/main">
          <x14:cfRule type="expression" priority="24" id="{7B776CAC-6FF9-48BC-8C47-05C103EDC263}">
            <xm:f>I$20='0.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I$20='0. GUIDELINES'!$E$4</xm:f>
            <x14:dxf>
              <font>
                <color auto="1"/>
              </font>
              <fill>
                <patternFill>
                  <bgColor theme="9" tint="0.79998168889431442"/>
                </patternFill>
              </fill>
            </x14:dxf>
          </x14:cfRule>
          <xm:sqref>I19:AA19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workbookViewId="0">
      <selection activeCell="V19" sqref="V19"/>
    </sheetView>
  </sheetViews>
  <sheetFormatPr defaultColWidth="0" defaultRowHeight="0" customHeight="1" zeroHeight="1" x14ac:dyDescent="0.2"/>
  <cols>
    <col min="1" max="1" width="25.7109375" style="86" customWidth="1"/>
    <col min="2" max="2" width="3.140625" style="390"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597" t="s">
        <v>223</v>
      </c>
      <c r="D2" s="597"/>
      <c r="E2" s="597"/>
      <c r="F2" s="597"/>
      <c r="G2" s="597"/>
      <c r="H2" s="597"/>
      <c r="I2" s="597"/>
      <c r="J2" s="597"/>
      <c r="K2" s="597"/>
      <c r="L2" s="597"/>
      <c r="M2" s="597"/>
      <c r="N2" s="597"/>
      <c r="O2" s="597"/>
      <c r="P2" s="597"/>
      <c r="Q2" s="597"/>
      <c r="R2" s="597"/>
      <c r="S2" s="597"/>
      <c r="T2" s="597"/>
      <c r="U2" s="597"/>
      <c r="V2" s="597"/>
      <c r="W2" s="597"/>
      <c r="X2" s="597"/>
      <c r="Y2" s="597"/>
      <c r="Z2" s="597"/>
      <c r="AA2" s="597"/>
      <c r="AB2" s="597"/>
      <c r="AC2" s="597"/>
      <c r="AD2" s="597"/>
    </row>
    <row r="3" spans="1:31" s="93" customFormat="1" ht="14.25" x14ac:dyDescent="0.2">
      <c r="A3" s="390"/>
      <c r="B3" s="390"/>
      <c r="C3" s="115"/>
      <c r="D3" s="115"/>
      <c r="E3" s="115"/>
    </row>
    <row r="4" spans="1:31" ht="15" customHeight="1" x14ac:dyDescent="0.25">
      <c r="C4" s="598" t="s">
        <v>224</v>
      </c>
      <c r="D4" s="598"/>
      <c r="F4" s="205"/>
      <c r="G4" s="594" t="s">
        <v>225</v>
      </c>
      <c r="H4" s="594"/>
      <c r="I4" s="594"/>
      <c r="J4" s="594"/>
      <c r="K4" s="594"/>
      <c r="L4" s="594"/>
      <c r="M4" s="594"/>
      <c r="N4" s="594"/>
      <c r="O4" s="594"/>
      <c r="P4" s="594"/>
      <c r="Q4" s="594"/>
      <c r="R4" s="594"/>
      <c r="S4" s="594"/>
      <c r="T4" s="594"/>
      <c r="U4" s="594"/>
      <c r="V4" s="594"/>
      <c r="X4" s="93"/>
      <c r="Y4" s="93"/>
      <c r="Z4" s="93"/>
      <c r="AA4" s="93"/>
      <c r="AB4" s="93"/>
      <c r="AC4" s="93"/>
      <c r="AD4" s="93"/>
      <c r="AE4" s="93"/>
    </row>
    <row r="5" spans="1:31" ht="15" customHeight="1" x14ac:dyDescent="0.2">
      <c r="C5" s="598"/>
      <c r="D5" s="598"/>
      <c r="F5" s="392"/>
      <c r="G5" s="602" t="s">
        <v>121</v>
      </c>
      <c r="H5" s="602"/>
      <c r="I5" s="602"/>
      <c r="J5" s="602"/>
      <c r="K5" s="602"/>
      <c r="L5" s="602"/>
      <c r="M5" s="602"/>
      <c r="N5" s="602"/>
      <c r="O5" s="602"/>
      <c r="P5" s="602"/>
      <c r="Q5" s="602"/>
      <c r="R5" s="602"/>
      <c r="S5" s="602"/>
      <c r="T5" s="601" t="s">
        <v>7</v>
      </c>
      <c r="U5" s="601"/>
      <c r="V5" s="601"/>
      <c r="X5" s="93"/>
      <c r="Y5" s="93"/>
      <c r="Z5" s="93"/>
      <c r="AA5" s="93"/>
      <c r="AB5" s="93"/>
      <c r="AC5" s="93"/>
      <c r="AD5" s="93"/>
      <c r="AE5" s="93"/>
    </row>
    <row r="6" spans="1:31" ht="15.75" customHeight="1" x14ac:dyDescent="0.2">
      <c r="C6" s="598"/>
      <c r="D6" s="598"/>
      <c r="F6" s="392"/>
      <c r="G6" s="393">
        <v>2011</v>
      </c>
      <c r="H6" s="393">
        <v>2012</v>
      </c>
      <c r="I6" s="393">
        <v>2013</v>
      </c>
      <c r="J6" s="393">
        <v>2014</v>
      </c>
      <c r="K6" s="393">
        <v>2015</v>
      </c>
      <c r="L6" s="393">
        <v>2016</v>
      </c>
      <c r="M6" s="393">
        <v>2017</v>
      </c>
      <c r="N6" s="393">
        <v>2018</v>
      </c>
      <c r="O6" s="393">
        <v>2019</v>
      </c>
      <c r="P6" s="393">
        <v>2020</v>
      </c>
      <c r="Q6" s="393">
        <v>2021</v>
      </c>
      <c r="R6" s="393">
        <v>2022</v>
      </c>
      <c r="S6" s="393">
        <v>2023</v>
      </c>
      <c r="T6" s="206">
        <v>2024</v>
      </c>
      <c r="U6" s="206">
        <v>2025</v>
      </c>
      <c r="V6" s="206">
        <v>2026</v>
      </c>
      <c r="X6" s="93"/>
      <c r="Y6" s="93"/>
      <c r="Z6" s="93"/>
      <c r="AA6" s="93"/>
      <c r="AB6" s="93"/>
      <c r="AC6" s="93"/>
      <c r="AD6" s="93"/>
      <c r="AE6" s="93"/>
    </row>
    <row r="7" spans="1:31" ht="14.25" customHeight="1" x14ac:dyDescent="0.2">
      <c r="C7" s="199" t="s">
        <v>226</v>
      </c>
      <c r="D7" s="593"/>
      <c r="F7" s="393" t="s">
        <v>227</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v>21610.73</v>
      </c>
      <c r="T7" s="507" cm="1">
        <f t="array" ref="T7">_xlfn.XLOOKUP(1, ('0. GUIDELINES'!$E$3=[1]inflows!$A:$A) * (T$6=[1]inflows!$B:$B), [1]inflows!$C:$C)</f>
        <v>22366.577699999998</v>
      </c>
      <c r="U7" s="507" cm="1">
        <f t="array" ref="U7">_xlfn.XLOOKUP(1, ('0. GUIDELINES'!$E$3=[1]inflows!$A:$A) * (U$6=[1]inflows!$B:$B), [1]inflows!$C:$C)</f>
        <v>24044.071027499998</v>
      </c>
      <c r="V7" s="507" cm="1">
        <f t="array" ref="V7">_xlfn.XLOOKUP(1, ('0. GUIDELINES'!$E$3=[1]inflows!$A:$A) * (V$6=[1]inflows!$B:$B), [1]inflows!$C:$C)</f>
        <v>25077.966081682498</v>
      </c>
      <c r="X7" s="93"/>
      <c r="Y7" s="93"/>
      <c r="Z7" s="93"/>
      <c r="AA7" s="93"/>
      <c r="AB7" s="93"/>
      <c r="AC7" s="93"/>
      <c r="AD7" s="93"/>
      <c r="AE7" s="93"/>
    </row>
    <row r="8" spans="1:31" ht="14.25" customHeight="1" x14ac:dyDescent="0.2">
      <c r="C8" s="198" t="s">
        <v>228</v>
      </c>
      <c r="D8" s="593"/>
      <c r="F8" s="395" t="s">
        <v>229</v>
      </c>
      <c r="G8" s="396"/>
      <c r="H8" s="396">
        <f>(+H7/G7-1)*100</f>
        <v>9.3047210300429164</v>
      </c>
      <c r="I8" s="396">
        <f t="shared" ref="I8:R8" si="0">(+I7/H7-1)*100</f>
        <v>12.596199151876796</v>
      </c>
      <c r="J8" s="396">
        <f t="shared" si="0"/>
        <v>-1.5483331008508627</v>
      </c>
      <c r="K8" s="396">
        <f t="shared" si="0"/>
        <v>7.4667044488524015</v>
      </c>
      <c r="L8" s="396">
        <f t="shared" si="0"/>
        <v>-2.9861568885959366</v>
      </c>
      <c r="M8" s="396">
        <f t="shared" si="0"/>
        <v>-13.236393286675208</v>
      </c>
      <c r="N8" s="396">
        <f t="shared" si="0"/>
        <v>17.331036103062146</v>
      </c>
      <c r="O8" s="396">
        <f t="shared" si="0"/>
        <v>9.5981844880523184</v>
      </c>
      <c r="P8" s="396">
        <f t="shared" si="0"/>
        <v>10.870894214372617</v>
      </c>
      <c r="Q8" s="396">
        <f t="shared" si="0"/>
        <v>36.103866357253047</v>
      </c>
      <c r="R8" s="396">
        <f t="shared" si="0"/>
        <v>-15.118548082127003</v>
      </c>
      <c r="S8" s="396">
        <f t="shared" ref="S8" si="1">(+S7/R7-1)*100</f>
        <v>2.7532275120198957</v>
      </c>
      <c r="T8" s="207">
        <f t="shared" ref="T8" si="2">(+T7/S7-1)*100</f>
        <v>3.4975574633526962</v>
      </c>
      <c r="U8" s="207">
        <f t="shared" ref="U8" si="3">(+U7/T7-1)*100</f>
        <v>7.4999999999999956</v>
      </c>
      <c r="V8" s="207">
        <f t="shared" ref="V8" si="4">(+V7/U7-1)*100</f>
        <v>4.2999999999999927</v>
      </c>
      <c r="X8" s="93"/>
      <c r="Y8" s="93"/>
      <c r="Z8" s="93"/>
      <c r="AA8" s="93"/>
      <c r="AB8" s="93"/>
      <c r="AC8" s="93"/>
      <c r="AD8" s="93"/>
      <c r="AE8" s="93"/>
    </row>
    <row r="9" spans="1:31" ht="16.5" customHeight="1" x14ac:dyDescent="0.2">
      <c r="C9" s="200" t="s">
        <v>230</v>
      </c>
      <c r="D9" s="202"/>
      <c r="F9" s="600" t="s">
        <v>231</v>
      </c>
      <c r="G9" s="600"/>
      <c r="H9" s="600"/>
      <c r="I9" s="600"/>
      <c r="J9" s="600"/>
      <c r="K9" s="600"/>
      <c r="L9" s="600"/>
      <c r="M9" s="600"/>
      <c r="N9" s="600"/>
      <c r="O9" s="600"/>
      <c r="P9" s="600"/>
      <c r="Q9" s="600"/>
      <c r="R9" s="600"/>
      <c r="S9" s="399"/>
      <c r="T9" s="400" t="s">
        <v>232</v>
      </c>
      <c r="U9" s="599" t="str">
        <f>[1]inflows!$D$2</f>
        <v>mfbxfstremtcd</v>
      </c>
      <c r="V9" s="599"/>
      <c r="X9" s="93"/>
      <c r="Y9" s="93"/>
      <c r="Z9" s="93"/>
      <c r="AA9" s="93"/>
      <c r="AB9" s="93"/>
      <c r="AC9" s="93"/>
      <c r="AD9" s="93"/>
      <c r="AE9" s="93"/>
    </row>
    <row r="10" spans="1:31" ht="19.5" customHeight="1" x14ac:dyDescent="0.2">
      <c r="A10" s="88" t="str">
        <f>'0. GUIDELINES'!E3&amp;"_"&amp;'CONTROL '!N1</f>
        <v>BGD_remittances</v>
      </c>
      <c r="B10" s="292"/>
      <c r="C10" s="198" t="s">
        <v>233</v>
      </c>
      <c r="D10" s="203" t="s">
        <v>234</v>
      </c>
      <c r="F10" s="93"/>
      <c r="G10" s="397"/>
      <c r="H10" s="98"/>
      <c r="I10" s="98"/>
      <c r="J10" s="98"/>
      <c r="K10" s="98"/>
      <c r="L10" s="98"/>
      <c r="M10" s="98"/>
      <c r="N10" s="98"/>
      <c r="O10" s="98"/>
      <c r="P10" s="397"/>
      <c r="Q10" s="398"/>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235</v>
      </c>
      <c r="D11" s="204" t="s">
        <v>236</v>
      </c>
      <c r="F11" s="93"/>
      <c r="G11" s="397"/>
      <c r="H11" s="98"/>
      <c r="I11" s="98"/>
      <c r="J11" s="98"/>
      <c r="K11" s="98"/>
      <c r="L11" s="98"/>
      <c r="M11" s="98"/>
      <c r="N11" s="98"/>
      <c r="O11" s="98"/>
      <c r="P11" s="397"/>
      <c r="Q11" s="398"/>
      <c r="R11" s="98"/>
      <c r="S11" s="98"/>
      <c r="T11" s="98"/>
      <c r="U11" s="98"/>
      <c r="V11" s="98"/>
      <c r="X11" s="93"/>
      <c r="Y11" s="93"/>
      <c r="Z11" s="93"/>
      <c r="AA11" s="93"/>
      <c r="AB11" s="93"/>
      <c r="AC11" s="93"/>
      <c r="AD11" s="93"/>
      <c r="AE11" s="93"/>
    </row>
    <row r="12" spans="1:31" ht="16.5" customHeight="1" x14ac:dyDescent="0.2">
      <c r="C12" s="201" t="s">
        <v>237</v>
      </c>
      <c r="D12" s="204" t="s">
        <v>238</v>
      </c>
      <c r="F12" s="93"/>
      <c r="G12" s="397"/>
      <c r="H12" s="98"/>
      <c r="I12" s="98"/>
      <c r="J12" s="98"/>
      <c r="K12" s="98"/>
      <c r="L12" s="98"/>
      <c r="M12" s="98"/>
      <c r="N12" s="98"/>
      <c r="O12" s="98"/>
      <c r="P12" s="397"/>
      <c r="Q12" s="398"/>
      <c r="R12" s="98"/>
      <c r="S12" s="98"/>
      <c r="T12" s="98"/>
      <c r="U12" s="98"/>
      <c r="V12" s="98"/>
      <c r="X12" s="93"/>
      <c r="Y12" s="93"/>
      <c r="Z12" s="93"/>
      <c r="AA12" s="93"/>
      <c r="AB12" s="93"/>
      <c r="AC12" s="93"/>
      <c r="AD12" s="93"/>
      <c r="AE12" s="93"/>
    </row>
    <row r="13" spans="1:31" ht="16.5" customHeight="1" x14ac:dyDescent="0.2">
      <c r="C13" s="595" t="str">
        <f>IF($D$12="Yes", "If you want to make changes to public transfers, please contact us using the link below. ", "Transfers are held constant in real terms.")</f>
        <v>Transfers are held constant in real terms.</v>
      </c>
      <c r="D13" s="595"/>
      <c r="F13" s="93"/>
      <c r="G13" s="397"/>
      <c r="H13" s="98"/>
      <c r="I13" s="98"/>
      <c r="J13" s="98"/>
      <c r="K13" s="98"/>
      <c r="L13" s="98"/>
      <c r="M13" s="98"/>
      <c r="N13" s="98"/>
      <c r="O13" s="98"/>
      <c r="P13" s="397"/>
      <c r="Q13" s="398"/>
      <c r="R13" s="98"/>
      <c r="S13" s="98"/>
      <c r="T13" s="98"/>
      <c r="U13" s="98"/>
      <c r="V13" s="98"/>
      <c r="X13" s="93"/>
      <c r="Y13" s="93"/>
      <c r="Z13" s="93"/>
      <c r="AA13" s="93"/>
      <c r="AB13" s="93"/>
      <c r="AC13" s="93"/>
      <c r="AD13" s="93"/>
      <c r="AE13" s="93"/>
    </row>
    <row r="14" spans="1:31" ht="16.5" customHeight="1" x14ac:dyDescent="0.2">
      <c r="C14" s="595"/>
      <c r="D14" s="595"/>
      <c r="F14" s="93"/>
      <c r="G14" s="397"/>
      <c r="H14" s="98"/>
      <c r="I14" s="98"/>
      <c r="J14" s="98"/>
      <c r="K14" s="98"/>
      <c r="L14" s="98"/>
      <c r="M14" s="98"/>
      <c r="N14" s="98"/>
      <c r="O14" s="98"/>
      <c r="P14" s="397"/>
      <c r="Q14" s="398"/>
      <c r="R14" s="98"/>
      <c r="S14" s="98"/>
      <c r="T14" s="98"/>
      <c r="U14" s="98"/>
      <c r="V14" s="98"/>
      <c r="X14" s="93"/>
      <c r="Y14" s="93"/>
      <c r="Z14" s="93"/>
      <c r="AA14" s="93"/>
      <c r="AB14" s="93"/>
      <c r="AC14" s="93"/>
      <c r="AD14" s="93"/>
      <c r="AE14" s="93"/>
    </row>
    <row r="15" spans="1:31" ht="16.5" customHeight="1" x14ac:dyDescent="0.2">
      <c r="C15" s="596" t="s">
        <v>125</v>
      </c>
      <c r="D15" s="596"/>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5">
      <c r="C16" s="391"/>
      <c r="D16" s="391"/>
      <c r="F16" s="205"/>
      <c r="G16" s="594" t="s">
        <v>239</v>
      </c>
      <c r="H16" s="594"/>
      <c r="I16" s="594"/>
      <c r="J16" s="594"/>
      <c r="K16" s="594"/>
      <c r="L16" s="594"/>
      <c r="M16" s="594"/>
      <c r="N16" s="594"/>
      <c r="O16" s="594"/>
      <c r="P16" s="594"/>
      <c r="Q16" s="594"/>
      <c r="R16" s="594"/>
      <c r="S16" s="594"/>
      <c r="T16" s="594"/>
      <c r="U16" s="594"/>
      <c r="V16" s="594"/>
      <c r="X16" s="93"/>
      <c r="Y16" s="93"/>
      <c r="Z16" s="93"/>
      <c r="AA16" s="93"/>
      <c r="AB16" s="93"/>
      <c r="AC16" s="93"/>
      <c r="AD16" s="93"/>
      <c r="AE16" s="93"/>
    </row>
    <row r="17" spans="3:35" ht="16.5" customHeight="1" x14ac:dyDescent="0.2">
      <c r="C17" s="391"/>
      <c r="D17" s="391"/>
      <c r="F17" s="93"/>
      <c r="G17" s="602" t="s">
        <v>121</v>
      </c>
      <c r="H17" s="602"/>
      <c r="I17" s="602"/>
      <c r="J17" s="602"/>
      <c r="K17" s="602"/>
      <c r="L17" s="602"/>
      <c r="M17" s="602"/>
      <c r="N17" s="602"/>
      <c r="O17" s="602"/>
      <c r="P17" s="602"/>
      <c r="Q17" s="602"/>
      <c r="R17" s="602"/>
      <c r="S17" s="602"/>
      <c r="T17" s="601" t="s">
        <v>7</v>
      </c>
      <c r="U17" s="601"/>
      <c r="V17" s="601"/>
      <c r="X17" s="93"/>
      <c r="Y17" s="93"/>
      <c r="Z17" s="93"/>
      <c r="AA17" s="93"/>
      <c r="AB17" s="93"/>
      <c r="AC17" s="93"/>
      <c r="AD17" s="93"/>
      <c r="AE17" s="93"/>
    </row>
    <row r="18" spans="3:35" ht="16.5" customHeight="1" x14ac:dyDescent="0.2">
      <c r="C18" s="391"/>
      <c r="D18" s="391"/>
      <c r="F18" s="125"/>
      <c r="G18" s="393">
        <v>2011</v>
      </c>
      <c r="H18" s="393">
        <v>2012</v>
      </c>
      <c r="I18" s="393">
        <v>2013</v>
      </c>
      <c r="J18" s="393">
        <v>2014</v>
      </c>
      <c r="K18" s="393">
        <v>2015</v>
      </c>
      <c r="L18" s="393">
        <v>2016</v>
      </c>
      <c r="M18" s="393">
        <v>2017</v>
      </c>
      <c r="N18" s="393">
        <v>2018</v>
      </c>
      <c r="O18" s="401">
        <v>2019</v>
      </c>
      <c r="P18" s="393">
        <v>2020</v>
      </c>
      <c r="Q18" s="393">
        <v>2021</v>
      </c>
      <c r="R18" s="393">
        <v>2022</v>
      </c>
      <c r="S18" s="393">
        <v>2023</v>
      </c>
      <c r="T18" s="206">
        <v>2024</v>
      </c>
      <c r="U18" s="206">
        <v>2025</v>
      </c>
      <c r="V18" s="206">
        <v>2026</v>
      </c>
      <c r="X18" s="93"/>
      <c r="Y18" s="93"/>
      <c r="Z18" s="93"/>
      <c r="AA18" s="93"/>
      <c r="AB18" s="93"/>
      <c r="AC18" s="93"/>
      <c r="AD18" s="93"/>
      <c r="AE18" s="93"/>
    </row>
    <row r="19" spans="3:35" ht="16.5" customHeight="1" x14ac:dyDescent="0.2">
      <c r="C19" s="391"/>
      <c r="D19" s="391"/>
      <c r="F19" s="395" t="s">
        <v>229</v>
      </c>
      <c r="G19" s="402"/>
      <c r="H19" s="402">
        <f>'1. GDP'!O40</f>
        <v>6.5214370673565503</v>
      </c>
      <c r="I19" s="402">
        <f>'1. GDP'!P40</f>
        <v>6.0136003720140385</v>
      </c>
      <c r="J19" s="402">
        <f>'1. GDP'!Q40</f>
        <v>6.0610860042506376</v>
      </c>
      <c r="K19" s="402">
        <f>'1. GDP'!R40</f>
        <v>6.5526448353302902</v>
      </c>
      <c r="L19" s="402">
        <f>'1. GDP'!S40</f>
        <v>7.1134728556473181</v>
      </c>
      <c r="M19" s="402">
        <f>'1. GDP'!T40</f>
        <v>6.5902394107701268</v>
      </c>
      <c r="N19" s="396">
        <f>'1. GDP'!U40</f>
        <v>7.3194122993388344</v>
      </c>
      <c r="O19" s="396">
        <f>'1. GDP'!V40</f>
        <v>7.8819021854025229</v>
      </c>
      <c r="P19" s="396">
        <f>'1. GDP'!W40</f>
        <v>3.4480295312287579</v>
      </c>
      <c r="Q19" s="396">
        <f>'1. GDP'!X40</f>
        <v>6.938675089101598</v>
      </c>
      <c r="R19" s="396">
        <f>'1. GDP'!Y40</f>
        <v>7.099828775751571</v>
      </c>
      <c r="S19" s="396">
        <f>'1. GDP'!Z40</f>
        <v>5.7751090753483725</v>
      </c>
      <c r="T19" s="207">
        <f>'1. GDP'!AA40</f>
        <v>5.6430273201793835</v>
      </c>
      <c r="U19" s="207">
        <f>'1. GDP'!AB40</f>
        <v>5.6820170690020433</v>
      </c>
      <c r="V19" s="207">
        <f>'1. GDP'!AC40</f>
        <v>5.9219103171221699</v>
      </c>
      <c r="X19" s="93"/>
      <c r="Y19" s="93"/>
      <c r="Z19" s="93"/>
      <c r="AA19" s="93"/>
      <c r="AB19" s="93"/>
      <c r="AC19" s="93"/>
      <c r="AD19" s="93"/>
      <c r="AE19" s="93"/>
    </row>
    <row r="20" spans="3:35" ht="15.75" customHeight="1" x14ac:dyDescent="0.2">
      <c r="C20" s="391"/>
      <c r="D20" s="391"/>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1"/>
      <c r="D21" s="391"/>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G16:V16"/>
    <mergeCell ref="U9:V9"/>
    <mergeCell ref="F9:R9"/>
    <mergeCell ref="T5:V5"/>
    <mergeCell ref="T17:V17"/>
    <mergeCell ref="G5:S5"/>
    <mergeCell ref="G17:S17"/>
    <mergeCell ref="D7:D8"/>
    <mergeCell ref="G4:V4"/>
    <mergeCell ref="C13:D14"/>
    <mergeCell ref="C15:D15"/>
    <mergeCell ref="C2:AD2"/>
    <mergeCell ref="C4:D6"/>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opLeftCell="B1" workbookViewId="0">
      <selection activeCell="G7" sqref="G7:V7"/>
    </sheetView>
  </sheetViews>
  <sheetFormatPr defaultColWidth="0" defaultRowHeight="0" customHeight="1" zeroHeight="1" x14ac:dyDescent="0.2"/>
  <cols>
    <col min="1" max="1" width="25.7109375" style="86" customWidth="1"/>
    <col min="2" max="2" width="3.140625" style="390"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5" t="s">
        <v>605</v>
      </c>
      <c r="D2" s="605"/>
      <c r="E2" s="605"/>
      <c r="F2" s="605"/>
      <c r="G2" s="605"/>
      <c r="H2" s="605"/>
      <c r="I2" s="605"/>
      <c r="J2" s="605"/>
      <c r="K2" s="605"/>
      <c r="L2" s="605"/>
      <c r="M2" s="605"/>
      <c r="N2" s="605"/>
      <c r="O2" s="605"/>
      <c r="P2" s="605"/>
      <c r="Q2" s="605"/>
      <c r="R2" s="605"/>
      <c r="S2" s="605"/>
      <c r="T2" s="605"/>
      <c r="U2" s="605"/>
      <c r="V2" s="605"/>
      <c r="W2" s="605"/>
      <c r="X2" s="605"/>
      <c r="Y2" s="605"/>
      <c r="Z2" s="605"/>
      <c r="AA2" s="605"/>
      <c r="AB2" s="605"/>
      <c r="AC2" s="605"/>
      <c r="AD2" s="605"/>
    </row>
    <row r="3" spans="1:31" s="93" customFormat="1" ht="14.25" x14ac:dyDescent="0.2">
      <c r="A3" s="390"/>
      <c r="B3" s="390"/>
      <c r="C3" s="115"/>
      <c r="D3" s="115"/>
      <c r="E3" s="115"/>
    </row>
    <row r="4" spans="1:31" ht="15" customHeight="1" x14ac:dyDescent="0.25">
      <c r="C4" s="606" t="s">
        <v>610</v>
      </c>
      <c r="D4" s="606"/>
      <c r="F4" s="498"/>
      <c r="G4" s="603" t="s">
        <v>614</v>
      </c>
      <c r="H4" s="603"/>
      <c r="I4" s="603"/>
      <c r="J4" s="603"/>
      <c r="K4" s="603"/>
      <c r="L4" s="603"/>
      <c r="M4" s="603"/>
      <c r="N4" s="603"/>
      <c r="O4" s="603"/>
      <c r="P4" s="603"/>
      <c r="Q4" s="603"/>
      <c r="R4" s="603"/>
      <c r="S4" s="603"/>
      <c r="T4" s="603"/>
      <c r="U4" s="603"/>
      <c r="V4" s="603"/>
      <c r="X4" s="93"/>
      <c r="Y4" s="93"/>
      <c r="Z4" s="93"/>
      <c r="AA4" s="93"/>
      <c r="AB4" s="93"/>
      <c r="AC4" s="93"/>
      <c r="AD4" s="93"/>
      <c r="AE4" s="93"/>
    </row>
    <row r="5" spans="1:31" ht="15" customHeight="1" x14ac:dyDescent="0.2">
      <c r="C5" s="606"/>
      <c r="D5" s="606"/>
      <c r="F5" s="392"/>
      <c r="G5" s="602" t="s">
        <v>121</v>
      </c>
      <c r="H5" s="602"/>
      <c r="I5" s="602"/>
      <c r="J5" s="602"/>
      <c r="K5" s="602"/>
      <c r="L5" s="602"/>
      <c r="M5" s="602"/>
      <c r="N5" s="602"/>
      <c r="O5" s="602"/>
      <c r="P5" s="602"/>
      <c r="Q5" s="602"/>
      <c r="R5" s="602"/>
      <c r="S5" s="602"/>
      <c r="T5" s="601" t="s">
        <v>7</v>
      </c>
      <c r="U5" s="601"/>
      <c r="V5" s="601"/>
      <c r="X5" s="93"/>
      <c r="Y5" s="93"/>
      <c r="Z5" s="93"/>
      <c r="AA5" s="93"/>
      <c r="AB5" s="93"/>
      <c r="AC5" s="93"/>
      <c r="AD5" s="93"/>
      <c r="AE5" s="93"/>
    </row>
    <row r="6" spans="1:31" ht="15.75" customHeight="1" x14ac:dyDescent="0.2">
      <c r="C6" s="606"/>
      <c r="D6" s="606"/>
      <c r="F6" s="392"/>
      <c r="G6" s="393">
        <v>2011</v>
      </c>
      <c r="H6" s="393">
        <v>2012</v>
      </c>
      <c r="I6" s="393">
        <v>2013</v>
      </c>
      <c r="J6" s="393">
        <v>2014</v>
      </c>
      <c r="K6" s="393">
        <v>2015</v>
      </c>
      <c r="L6" s="393">
        <v>2016</v>
      </c>
      <c r="M6" s="393">
        <v>2017</v>
      </c>
      <c r="N6" s="393">
        <v>2018</v>
      </c>
      <c r="O6" s="393">
        <v>2019</v>
      </c>
      <c r="P6" s="393">
        <v>2020</v>
      </c>
      <c r="Q6" s="393">
        <v>2021</v>
      </c>
      <c r="R6" s="393">
        <v>2022</v>
      </c>
      <c r="S6" s="393">
        <v>2023</v>
      </c>
      <c r="T6" s="476">
        <v>2024</v>
      </c>
      <c r="U6" s="476">
        <v>2025</v>
      </c>
      <c r="V6" s="476">
        <v>2026</v>
      </c>
      <c r="X6" s="93"/>
      <c r="Y6" s="93"/>
      <c r="Z6" s="93"/>
      <c r="AA6" s="93"/>
      <c r="AB6" s="93"/>
      <c r="AC6" s="93"/>
      <c r="AD6" s="93"/>
      <c r="AE6" s="93"/>
    </row>
    <row r="7" spans="1:31" ht="14.25" customHeight="1" x14ac:dyDescent="0.2">
      <c r="C7" s="492" t="s">
        <v>606</v>
      </c>
      <c r="D7" s="604"/>
      <c r="F7" s="393" t="s">
        <v>599</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3" t="s">
        <v>607</v>
      </c>
      <c r="D8" s="604"/>
      <c r="F8" s="393" t="s">
        <v>601</v>
      </c>
      <c r="G8" s="394"/>
      <c r="H8" s="394"/>
      <c r="I8" s="394"/>
      <c r="J8" s="394"/>
      <c r="K8" s="394"/>
      <c r="L8" s="394"/>
      <c r="M8" s="394"/>
      <c r="N8" s="394"/>
      <c r="O8" s="394"/>
      <c r="P8" s="394"/>
      <c r="Q8" s="394"/>
      <c r="R8" s="394"/>
      <c r="S8" s="394"/>
      <c r="T8" s="208"/>
      <c r="U8" s="208"/>
      <c r="V8" s="208"/>
      <c r="X8" s="93"/>
      <c r="Y8" s="93"/>
      <c r="Z8" s="93"/>
      <c r="AA8" s="93"/>
      <c r="AB8" s="93"/>
      <c r="AC8" s="93"/>
      <c r="AD8" s="93"/>
      <c r="AE8" s="93"/>
    </row>
    <row r="9" spans="1:31" ht="16.5" customHeight="1" x14ac:dyDescent="0.2">
      <c r="C9" s="494" t="s">
        <v>608</v>
      </c>
      <c r="D9" s="495"/>
      <c r="F9" s="393" t="s">
        <v>596</v>
      </c>
      <c r="G9" s="394"/>
      <c r="H9" s="394"/>
      <c r="I9" s="394"/>
      <c r="J9" s="394"/>
      <c r="K9" s="394"/>
      <c r="L9" s="394"/>
      <c r="M9" s="394"/>
      <c r="N9" s="394"/>
      <c r="O9" s="394"/>
      <c r="P9" s="394"/>
      <c r="Q9" s="394"/>
      <c r="R9" s="394"/>
      <c r="S9" s="394"/>
      <c r="T9" s="208"/>
      <c r="U9" s="208"/>
      <c r="V9" s="208"/>
      <c r="X9" s="93"/>
      <c r="Y9" s="93"/>
      <c r="Z9" s="93"/>
      <c r="AA9" s="93"/>
      <c r="AB9" s="93"/>
      <c r="AC9" s="93"/>
      <c r="AD9" s="93"/>
      <c r="AE9" s="93"/>
    </row>
    <row r="10" spans="1:31" ht="19.5" customHeight="1" x14ac:dyDescent="0.25">
      <c r="A10" s="88"/>
      <c r="B10" s="292"/>
      <c r="C10" s="493" t="s">
        <v>609</v>
      </c>
      <c r="D10" s="496"/>
      <c r="F10" s="393"/>
      <c r="G10" s="394"/>
      <c r="H10" s="394"/>
      <c r="I10" s="394"/>
      <c r="J10" s="394"/>
      <c r="K10" s="394"/>
      <c r="L10" s="394"/>
      <c r="M10" s="394"/>
      <c r="N10" s="394"/>
      <c r="O10" s="394"/>
      <c r="P10" s="394"/>
      <c r="Q10" s="394"/>
      <c r="R10" s="394"/>
      <c r="S10" s="394"/>
      <c r="T10" s="208"/>
      <c r="U10" s="208"/>
      <c r="V10" s="208"/>
      <c r="X10" s="93"/>
      <c r="Y10" s="93"/>
      <c r="Z10" s="93"/>
      <c r="AA10" s="93"/>
      <c r="AB10" s="93"/>
      <c r="AC10" s="93"/>
      <c r="AD10" s="93"/>
      <c r="AE10" s="93"/>
    </row>
    <row r="11" spans="1:31" ht="15.6" customHeight="1" x14ac:dyDescent="0.25">
      <c r="A11" s="88"/>
      <c r="B11" s="292"/>
      <c r="C11" s="497"/>
      <c r="D11" s="496"/>
      <c r="F11" s="393" t="s">
        <v>611</v>
      </c>
      <c r="G11" s="394"/>
      <c r="H11" s="394"/>
      <c r="I11" s="394"/>
      <c r="J11" s="394"/>
      <c r="K11" s="394"/>
      <c r="L11" s="394"/>
      <c r="M11" s="394"/>
      <c r="N11" s="394"/>
      <c r="O11" s="394"/>
      <c r="P11" s="394"/>
      <c r="Q11" s="394"/>
      <c r="R11" s="394"/>
      <c r="S11" s="394"/>
      <c r="T11" s="208"/>
      <c r="U11" s="208"/>
      <c r="V11" s="208"/>
      <c r="X11" s="93"/>
      <c r="Y11" s="93"/>
      <c r="Z11" s="93"/>
      <c r="AA11" s="93"/>
      <c r="AB11" s="93"/>
      <c r="AC11" s="93"/>
      <c r="AD11" s="93"/>
      <c r="AE11" s="93"/>
    </row>
    <row r="12" spans="1:31" ht="16.5" customHeight="1" x14ac:dyDescent="0.25">
      <c r="C12" s="497"/>
      <c r="D12" s="496"/>
      <c r="F12" s="393" t="s">
        <v>612</v>
      </c>
      <c r="G12" s="394"/>
      <c r="H12" s="394"/>
      <c r="I12" s="394"/>
      <c r="J12" s="394"/>
      <c r="K12" s="394"/>
      <c r="L12" s="394"/>
      <c r="M12" s="394"/>
      <c r="N12" s="394"/>
      <c r="O12" s="394"/>
      <c r="P12" s="394"/>
      <c r="Q12" s="394"/>
      <c r="R12" s="394"/>
      <c r="S12" s="394"/>
      <c r="T12" s="208"/>
      <c r="U12" s="208"/>
      <c r="V12" s="208"/>
      <c r="X12" s="93"/>
      <c r="Y12" s="93"/>
      <c r="Z12" s="93"/>
      <c r="AA12" s="93"/>
      <c r="AB12" s="93"/>
      <c r="AC12" s="93"/>
      <c r="AD12" s="93"/>
      <c r="AE12" s="93"/>
    </row>
    <row r="13" spans="1:31" ht="16.5" customHeight="1" x14ac:dyDescent="0.25">
      <c r="C13" s="491"/>
      <c r="D13" s="491"/>
      <c r="F13" s="393" t="s">
        <v>613</v>
      </c>
      <c r="G13" s="396"/>
      <c r="H13" s="396">
        <f>(+H7/G7-1)*100</f>
        <v>9.3047210300429164</v>
      </c>
      <c r="I13" s="396">
        <f t="shared" ref="I13:V13" si="0">(+I7/H7-1)*100</f>
        <v>12.596199151876796</v>
      </c>
      <c r="J13" s="396">
        <f t="shared" si="0"/>
        <v>-1.5483331008508627</v>
      </c>
      <c r="K13" s="396">
        <f t="shared" si="0"/>
        <v>7.4667044488524015</v>
      </c>
      <c r="L13" s="396">
        <f t="shared" si="0"/>
        <v>-2.9861568885959366</v>
      </c>
      <c r="M13" s="396">
        <f t="shared" si="0"/>
        <v>-13.236393286675208</v>
      </c>
      <c r="N13" s="396">
        <f t="shared" si="0"/>
        <v>17.331036103062146</v>
      </c>
      <c r="O13" s="396">
        <f t="shared" si="0"/>
        <v>9.5981844880523184</v>
      </c>
      <c r="P13" s="396">
        <f t="shared" si="0"/>
        <v>10.870894214372617</v>
      </c>
      <c r="Q13" s="396">
        <f t="shared" si="0"/>
        <v>36.103866357253047</v>
      </c>
      <c r="R13" s="396">
        <f t="shared" si="0"/>
        <v>-15.118548082127003</v>
      </c>
      <c r="S13" s="396">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1"/>
      <c r="D14" s="491"/>
      <c r="F14" s="600" t="s">
        <v>231</v>
      </c>
      <c r="G14" s="600"/>
      <c r="H14" s="600"/>
      <c r="I14" s="600"/>
      <c r="J14" s="600"/>
      <c r="K14" s="600"/>
      <c r="L14" s="600"/>
      <c r="M14" s="600"/>
      <c r="N14" s="600"/>
      <c r="O14" s="600"/>
      <c r="P14" s="600"/>
      <c r="Q14" s="600"/>
      <c r="R14" s="600"/>
      <c r="S14" s="399"/>
      <c r="T14" s="400" t="s">
        <v>232</v>
      </c>
      <c r="U14" s="599" t="str">
        <f>[1]inflows!$D$2</f>
        <v>mfbxfstremtcd</v>
      </c>
      <c r="V14" s="599"/>
      <c r="X14" s="93"/>
      <c r="Y14" s="93"/>
      <c r="Z14" s="93"/>
      <c r="AA14" s="93"/>
      <c r="AB14" s="93"/>
      <c r="AC14" s="93"/>
      <c r="AD14" s="93"/>
      <c r="AE14" s="93"/>
    </row>
    <row r="15" spans="1:31" ht="16.5" customHeight="1" x14ac:dyDescent="0.2">
      <c r="C15" s="596" t="s">
        <v>125</v>
      </c>
      <c r="D15" s="596"/>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
      <c r="C16" s="391"/>
      <c r="D16" s="391"/>
      <c r="F16" s="93"/>
      <c r="G16" s="397"/>
      <c r="H16" s="98"/>
      <c r="I16" s="98"/>
      <c r="J16" s="98"/>
      <c r="K16" s="98"/>
      <c r="L16" s="98"/>
      <c r="M16" s="98"/>
      <c r="N16" s="98"/>
      <c r="O16" s="98"/>
      <c r="P16" s="397"/>
      <c r="Q16" s="398"/>
      <c r="R16" s="98"/>
      <c r="S16" s="98"/>
      <c r="T16" s="98"/>
      <c r="U16" s="98"/>
      <c r="V16" s="98"/>
      <c r="X16" s="93"/>
      <c r="Y16" s="93"/>
      <c r="Z16" s="93"/>
      <c r="AA16" s="93"/>
      <c r="AB16" s="93"/>
      <c r="AC16" s="93"/>
      <c r="AD16" s="93"/>
      <c r="AE16" s="93"/>
    </row>
    <row r="17" spans="3:35" ht="16.5" customHeight="1" x14ac:dyDescent="0.2">
      <c r="C17" s="391"/>
      <c r="D17" s="391"/>
      <c r="F17" s="93"/>
      <c r="G17" s="397"/>
      <c r="H17" s="98"/>
      <c r="I17" s="98"/>
      <c r="J17" s="98"/>
      <c r="K17" s="98"/>
      <c r="L17" s="98"/>
      <c r="M17" s="98"/>
      <c r="N17" s="98"/>
      <c r="O17" s="98"/>
      <c r="P17" s="397"/>
      <c r="Q17" s="398"/>
      <c r="R17" s="98"/>
      <c r="S17" s="98"/>
      <c r="T17" s="98"/>
      <c r="U17" s="98"/>
      <c r="V17" s="98"/>
      <c r="X17" s="93"/>
      <c r="Y17" s="93"/>
      <c r="Z17" s="93"/>
      <c r="AA17" s="93"/>
      <c r="AB17" s="93"/>
      <c r="AC17" s="93"/>
      <c r="AD17" s="93"/>
      <c r="AE17" s="93"/>
    </row>
    <row r="18" spans="3:35" ht="16.5" customHeight="1" x14ac:dyDescent="0.2">
      <c r="C18" s="391"/>
      <c r="D18" s="391"/>
      <c r="F18" s="93"/>
      <c r="G18" s="397"/>
      <c r="H18" s="98"/>
      <c r="I18" s="98"/>
      <c r="J18" s="98"/>
      <c r="K18" s="98"/>
      <c r="L18" s="98"/>
      <c r="M18" s="98"/>
      <c r="N18" s="98"/>
      <c r="O18" s="98"/>
      <c r="P18" s="397"/>
      <c r="Q18" s="398"/>
      <c r="R18" s="98"/>
      <c r="S18" s="98"/>
      <c r="T18" s="98"/>
      <c r="U18" s="98"/>
      <c r="V18" s="98"/>
      <c r="X18" s="93"/>
      <c r="Y18" s="93"/>
      <c r="Z18" s="93"/>
      <c r="AA18" s="93"/>
      <c r="AB18" s="93"/>
      <c r="AC18" s="93"/>
      <c r="AD18" s="93"/>
      <c r="AE18" s="93"/>
    </row>
    <row r="19" spans="3:35" ht="16.5" customHeight="1" x14ac:dyDescent="0.2">
      <c r="C19" s="391"/>
      <c r="D19" s="391"/>
      <c r="F19" s="93"/>
      <c r="G19" s="397"/>
      <c r="H19" s="98"/>
      <c r="I19" s="98"/>
      <c r="J19" s="98"/>
      <c r="K19" s="98"/>
      <c r="L19" s="98"/>
      <c r="M19" s="98"/>
      <c r="N19" s="98"/>
      <c r="O19" s="98"/>
      <c r="P19" s="397"/>
      <c r="Q19" s="398"/>
      <c r="R19" s="98"/>
      <c r="S19" s="98"/>
      <c r="T19" s="98"/>
      <c r="U19" s="98"/>
      <c r="V19" s="98"/>
      <c r="X19" s="93"/>
      <c r="Y19" s="93"/>
      <c r="Z19" s="93"/>
      <c r="AA19" s="93"/>
      <c r="AB19" s="93"/>
      <c r="AC19" s="93"/>
      <c r="AD19" s="93"/>
      <c r="AE19" s="93"/>
    </row>
    <row r="20" spans="3:35" ht="15.75" customHeight="1" x14ac:dyDescent="0.2">
      <c r="C20" s="391"/>
      <c r="D20" s="391"/>
      <c r="F20" s="93"/>
      <c r="G20" s="397"/>
      <c r="H20" s="98"/>
      <c r="I20" s="98"/>
      <c r="J20" s="98"/>
      <c r="K20" s="98"/>
      <c r="L20" s="98"/>
      <c r="M20" s="98"/>
      <c r="N20" s="98"/>
      <c r="O20" s="98"/>
      <c r="P20" s="397"/>
      <c r="Q20" s="398"/>
      <c r="R20" s="98"/>
      <c r="S20" s="98"/>
      <c r="T20" s="98"/>
      <c r="U20" s="98"/>
      <c r="V20" s="98"/>
      <c r="X20" s="93"/>
      <c r="Y20" s="93"/>
      <c r="Z20" s="93"/>
      <c r="AA20" s="93"/>
      <c r="AB20" s="93"/>
      <c r="AC20" s="93"/>
      <c r="AD20" s="93"/>
      <c r="AE20" s="93"/>
    </row>
    <row r="21" spans="3:35" ht="15.75" customHeight="1" x14ac:dyDescent="0.25">
      <c r="C21" s="391"/>
      <c r="D21" s="391"/>
      <c r="F21" s="498"/>
      <c r="G21" s="603" t="s">
        <v>239</v>
      </c>
      <c r="H21" s="603"/>
      <c r="I21" s="603"/>
      <c r="J21" s="603"/>
      <c r="K21" s="603"/>
      <c r="L21" s="603"/>
      <c r="M21" s="603"/>
      <c r="N21" s="603"/>
      <c r="O21" s="603"/>
      <c r="P21" s="603"/>
      <c r="Q21" s="603"/>
      <c r="R21" s="603"/>
      <c r="S21" s="603"/>
      <c r="T21" s="603"/>
      <c r="U21" s="603"/>
      <c r="V21" s="603"/>
      <c r="W21" s="294"/>
      <c r="X21" s="93"/>
      <c r="Y21" s="93"/>
      <c r="Z21" s="93"/>
      <c r="AA21" s="93"/>
      <c r="AB21" s="93"/>
      <c r="AC21" s="93"/>
      <c r="AD21" s="93"/>
      <c r="AE21" s="93"/>
      <c r="AI21" s="43"/>
    </row>
    <row r="22" spans="3:35" ht="15.6" customHeight="1" x14ac:dyDescent="0.2">
      <c r="C22" s="115"/>
      <c r="D22" s="115"/>
      <c r="E22" s="124"/>
      <c r="F22" s="93"/>
      <c r="G22" s="602" t="s">
        <v>121</v>
      </c>
      <c r="H22" s="602"/>
      <c r="I22" s="602"/>
      <c r="J22" s="602"/>
      <c r="K22" s="602"/>
      <c r="L22" s="602"/>
      <c r="M22" s="602"/>
      <c r="N22" s="602"/>
      <c r="O22" s="602"/>
      <c r="P22" s="602"/>
      <c r="Q22" s="602"/>
      <c r="R22" s="602"/>
      <c r="S22" s="602"/>
      <c r="T22" s="601" t="s">
        <v>7</v>
      </c>
      <c r="U22" s="601"/>
      <c r="V22" s="601"/>
      <c r="W22" s="294"/>
      <c r="X22" s="93"/>
      <c r="Y22" s="93"/>
      <c r="Z22" s="93"/>
      <c r="AA22" s="93"/>
      <c r="AB22" s="93"/>
      <c r="AC22" s="93"/>
      <c r="AD22" s="93"/>
      <c r="AE22" s="93"/>
    </row>
    <row r="23" spans="3:35" ht="15" customHeight="1" x14ac:dyDescent="0.2">
      <c r="C23" s="115"/>
      <c r="D23" s="115"/>
      <c r="F23" s="125"/>
      <c r="G23" s="393">
        <v>2011</v>
      </c>
      <c r="H23" s="393">
        <v>2012</v>
      </c>
      <c r="I23" s="393">
        <v>2013</v>
      </c>
      <c r="J23" s="393">
        <v>2014</v>
      </c>
      <c r="K23" s="393">
        <v>2015</v>
      </c>
      <c r="L23" s="393">
        <v>2016</v>
      </c>
      <c r="M23" s="393">
        <v>2017</v>
      </c>
      <c r="N23" s="393">
        <v>2018</v>
      </c>
      <c r="O23" s="401">
        <v>2019</v>
      </c>
      <c r="P23" s="393">
        <v>2020</v>
      </c>
      <c r="Q23" s="393">
        <v>2021</v>
      </c>
      <c r="R23" s="393">
        <v>2022</v>
      </c>
      <c r="S23" s="393">
        <v>2023</v>
      </c>
      <c r="T23" s="476">
        <v>2024</v>
      </c>
      <c r="U23" s="476">
        <v>2025</v>
      </c>
      <c r="V23" s="476">
        <v>2026</v>
      </c>
      <c r="X23" s="93"/>
      <c r="Y23" s="93"/>
      <c r="Z23" s="93"/>
      <c r="AA23" s="93"/>
      <c r="AB23" s="93"/>
      <c r="AC23" s="93"/>
      <c r="AD23" s="93"/>
      <c r="AE23" s="93"/>
      <c r="AI23" s="43"/>
    </row>
    <row r="24" spans="3:35" ht="15" customHeight="1" x14ac:dyDescent="0.2">
      <c r="C24" s="115"/>
      <c r="D24" s="115"/>
      <c r="F24" s="125"/>
      <c r="G24" s="393"/>
      <c r="H24" s="393"/>
      <c r="I24" s="393"/>
      <c r="J24" s="393"/>
      <c r="K24" s="393"/>
      <c r="L24" s="393"/>
      <c r="M24" s="393"/>
      <c r="N24" s="393"/>
      <c r="O24" s="401"/>
      <c r="P24" s="393"/>
      <c r="Q24" s="393"/>
      <c r="R24" s="393"/>
      <c r="S24" s="393"/>
      <c r="T24" s="476"/>
      <c r="U24" s="476"/>
      <c r="V24" s="476"/>
      <c r="X24" s="93"/>
      <c r="Y24" s="93"/>
      <c r="Z24" s="93"/>
      <c r="AA24" s="93"/>
      <c r="AB24" s="93"/>
      <c r="AC24" s="93"/>
      <c r="AD24" s="93"/>
      <c r="AE24" s="93"/>
      <c r="AI24" s="43"/>
    </row>
    <row r="25" spans="3:35" ht="15" customHeight="1" x14ac:dyDescent="0.2">
      <c r="C25" s="115"/>
      <c r="D25" s="115"/>
      <c r="F25" s="395" t="s">
        <v>229</v>
      </c>
      <c r="G25" s="402"/>
      <c r="H25" s="402">
        <f>'1. GDP'!O40</f>
        <v>6.5214370673565503</v>
      </c>
      <c r="I25" s="402">
        <f>'1. GDP'!P40</f>
        <v>6.0136003720140385</v>
      </c>
      <c r="J25" s="402">
        <f>'1. GDP'!Q40</f>
        <v>6.0610860042506376</v>
      </c>
      <c r="K25" s="402">
        <f>'1. GDP'!R40</f>
        <v>6.5526448353302902</v>
      </c>
      <c r="L25" s="402">
        <f>'1. GDP'!S40</f>
        <v>7.1134728556473181</v>
      </c>
      <c r="M25" s="402">
        <f>'1. GDP'!T40</f>
        <v>6.5902394107701268</v>
      </c>
      <c r="N25" s="396">
        <f>'1. GDP'!U40</f>
        <v>7.3194122993388344</v>
      </c>
      <c r="O25" s="396">
        <f>'1. GDP'!V40</f>
        <v>7.8819021854025229</v>
      </c>
      <c r="P25" s="396">
        <f>'1. GDP'!W40</f>
        <v>3.4480295312287579</v>
      </c>
      <c r="Q25" s="396">
        <f>'1. GDP'!X40</f>
        <v>6.938675089101598</v>
      </c>
      <c r="R25" s="396">
        <f>'1. GDP'!Y40</f>
        <v>7.099828775751571</v>
      </c>
      <c r="S25" s="396">
        <f>'1. GDP'!Z40</f>
        <v>5.7751090753483725</v>
      </c>
      <c r="T25" s="207">
        <f>'1. GDP'!AA40</f>
        <v>5.6430273201793835</v>
      </c>
      <c r="U25" s="207">
        <f>'1. GDP'!AB40</f>
        <v>5.6820170690020433</v>
      </c>
      <c r="V25" s="207">
        <f>'1. GDP'!AC40</f>
        <v>5.9219103171221699</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0"/>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0"/>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0"/>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0"/>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0"/>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0"/>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0"/>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0"/>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0"/>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0"/>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0"/>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0"/>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0"/>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0"/>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D7:D8"/>
    <mergeCell ref="C2:AD2"/>
    <mergeCell ref="C4:D6"/>
    <mergeCell ref="G4:V4"/>
    <mergeCell ref="G5:S5"/>
    <mergeCell ref="T5:V5"/>
    <mergeCell ref="F14:R14"/>
    <mergeCell ref="U14:V14"/>
    <mergeCell ref="C15:D15"/>
    <mergeCell ref="G21:V21"/>
    <mergeCell ref="G22:S22"/>
    <mergeCell ref="T22:V22"/>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3"/>
      <c r="Q1" s="115"/>
    </row>
    <row r="2" spans="1:17" ht="18" x14ac:dyDescent="0.25">
      <c r="B2" s="615" t="s">
        <v>93</v>
      </c>
      <c r="C2" s="615"/>
      <c r="D2" s="615"/>
      <c r="E2" s="615"/>
      <c r="F2" s="615"/>
      <c r="G2" s="615"/>
      <c r="H2" s="615"/>
      <c r="I2" s="615"/>
      <c r="K2" s="93"/>
      <c r="L2" s="93"/>
      <c r="M2" s="637" t="s">
        <v>81</v>
      </c>
      <c r="N2" s="637"/>
      <c r="O2" s="637"/>
      <c r="P2" s="637"/>
      <c r="Q2" s="86"/>
    </row>
    <row r="3" spans="1:17" ht="15.75" customHeight="1" x14ac:dyDescent="0.2">
      <c r="B3" s="93"/>
      <c r="C3" s="93"/>
      <c r="D3" s="93"/>
      <c r="E3" s="93"/>
      <c r="F3" s="93"/>
      <c r="G3" s="93"/>
      <c r="H3" s="93"/>
      <c r="I3" s="93"/>
      <c r="K3" s="613" t="s">
        <v>240</v>
      </c>
      <c r="L3" s="613"/>
      <c r="M3" s="638" t="s">
        <v>241</v>
      </c>
      <c r="N3" s="638"/>
      <c r="O3" s="638"/>
      <c r="P3" s="638"/>
      <c r="Q3" s="86"/>
    </row>
    <row r="4" spans="1:17" ht="15" customHeight="1" x14ac:dyDescent="0.2">
      <c r="B4" s="618"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18"/>
      <c r="D4" s="618"/>
      <c r="E4" s="618"/>
      <c r="F4" s="618"/>
      <c r="G4" s="618"/>
      <c r="H4" s="618"/>
      <c r="I4" s="618"/>
      <c r="K4" s="614">
        <v>2026</v>
      </c>
      <c r="L4" s="614"/>
      <c r="M4" s="629" t="s">
        <v>29</v>
      </c>
      <c r="N4" s="629" t="s">
        <v>29</v>
      </c>
      <c r="O4" s="629" t="s">
        <v>29</v>
      </c>
      <c r="P4" s="477">
        <f>HLOOKUP(CONCATENATE("lav",$K$4), linkage_aggregate_variables!$B:$AA, Q4, 0)*100</f>
        <v>-3.6031305920576462</v>
      </c>
      <c r="Q4" s="11">
        <v>15</v>
      </c>
    </row>
    <row r="5" spans="1:17" x14ac:dyDescent="0.2">
      <c r="A5" s="404" t="s">
        <v>242</v>
      </c>
      <c r="B5" s="618"/>
      <c r="C5" s="618"/>
      <c r="D5" s="618"/>
      <c r="E5" s="618"/>
      <c r="F5" s="618"/>
      <c r="G5" s="618"/>
      <c r="H5" s="618"/>
      <c r="I5" s="618"/>
      <c r="K5" s="294"/>
      <c r="L5" s="294"/>
      <c r="M5" s="629" t="s">
        <v>385</v>
      </c>
      <c r="N5" s="629" t="s">
        <v>385</v>
      </c>
      <c r="O5" s="629" t="s">
        <v>385</v>
      </c>
      <c r="P5" s="477">
        <f>HLOOKUP(CONCATENATE("lav",$K$4), linkage_aggregate_variables!$B:$AA, Q5, 0)*100</f>
        <v>-4.1097732547252459</v>
      </c>
      <c r="Q5" s="11">
        <v>16</v>
      </c>
    </row>
    <row r="6" spans="1:17" x14ac:dyDescent="0.2">
      <c r="B6" s="618"/>
      <c r="C6" s="618"/>
      <c r="D6" s="618"/>
      <c r="E6" s="618"/>
      <c r="F6" s="618"/>
      <c r="G6" s="618"/>
      <c r="H6" s="618"/>
      <c r="I6" s="618"/>
      <c r="K6" s="294"/>
      <c r="L6" s="294"/>
      <c r="M6" s="629" t="s">
        <v>402</v>
      </c>
      <c r="N6" s="629" t="s">
        <v>402</v>
      </c>
      <c r="O6" s="629" t="s">
        <v>402</v>
      </c>
      <c r="P6" s="477">
        <f>HLOOKUP(CONCATENATE("lav",$K$4), linkage_aggregate_variables!$B:$AA, Q6, 0)*100</f>
        <v>0.33067174662126941</v>
      </c>
      <c r="Q6" s="11">
        <v>17</v>
      </c>
    </row>
    <row r="7" spans="1:17" x14ac:dyDescent="0.2">
      <c r="B7" s="618"/>
      <c r="C7" s="618"/>
      <c r="D7" s="618"/>
      <c r="E7" s="618"/>
      <c r="F7" s="618"/>
      <c r="G7" s="618"/>
      <c r="H7" s="618"/>
      <c r="I7" s="618"/>
      <c r="K7" s="294"/>
      <c r="L7" s="294"/>
      <c r="M7" s="629" t="s">
        <v>386</v>
      </c>
      <c r="N7" s="629" t="s">
        <v>386</v>
      </c>
      <c r="O7" s="629" t="s">
        <v>386</v>
      </c>
      <c r="P7" s="477">
        <f>HLOOKUP(CONCATENATE("lav",$K$4), linkage_aggregate_variables!$B:$AA, Q7, 0)*100</f>
        <v>4.2529299318464053</v>
      </c>
      <c r="Q7" s="11">
        <v>18</v>
      </c>
    </row>
    <row r="8" spans="1:17" x14ac:dyDescent="0.2">
      <c r="B8" s="93"/>
      <c r="C8" s="93"/>
      <c r="D8" s="93"/>
      <c r="E8" s="93"/>
      <c r="F8" s="93"/>
      <c r="G8" s="93"/>
      <c r="H8" s="93"/>
      <c r="I8" s="93"/>
      <c r="K8" s="294"/>
      <c r="L8" s="294"/>
      <c r="M8" s="629" t="s">
        <v>387</v>
      </c>
      <c r="N8" s="629" t="s">
        <v>387</v>
      </c>
      <c r="O8" s="629" t="s">
        <v>387</v>
      </c>
      <c r="P8" s="477">
        <f>HLOOKUP(CONCATENATE("lav",$K$4), linkage_aggregate_variables!$B:$AA, Q8, 0)*100</f>
        <v>2.6716281513189832</v>
      </c>
      <c r="Q8" s="86">
        <v>19</v>
      </c>
    </row>
    <row r="9" spans="1:17" x14ac:dyDescent="0.2">
      <c r="B9" s="617" t="s">
        <v>99</v>
      </c>
      <c r="C9" s="617"/>
      <c r="D9" s="617"/>
      <c r="E9" s="616" t="str">
        <f>IF('CONTROL '!B2=TRUE,"revised","Please, revise the "&amp;B9&amp;" checklist")</f>
        <v>Please, revise the 1. GDP checklist</v>
      </c>
      <c r="F9" s="616"/>
      <c r="G9" s="616"/>
      <c r="H9" s="616"/>
      <c r="I9" s="616"/>
      <c r="K9" s="294"/>
      <c r="L9" s="294"/>
      <c r="M9" s="629" t="s">
        <v>388</v>
      </c>
      <c r="N9" s="629" t="s">
        <v>388</v>
      </c>
      <c r="O9" s="629" t="s">
        <v>388</v>
      </c>
      <c r="P9" s="477">
        <f>HLOOKUP(CONCATENATE("lav",$K$4), linkage_aggregate_variables!$B:$AA, Q9, 0)*100</f>
        <v>0.98283425265315305</v>
      </c>
      <c r="Q9" s="86">
        <v>20</v>
      </c>
    </row>
    <row r="10" spans="1:17" x14ac:dyDescent="0.2">
      <c r="B10" s="619" t="s">
        <v>103</v>
      </c>
      <c r="C10" s="619"/>
      <c r="D10" s="619"/>
      <c r="E10" s="624" t="str">
        <f>IF(( AND( 'CONTROL '!B3=TRUE, 'CONTROL '!B4=TRUE, 'CONTROL '!B5=TRUE, 'CONTROL '!B6=TRUE, 'CONTROL '!B7=TRUE)),"revised","Please, revise the "&amp;B10&amp;" checklist")</f>
        <v>Please, revise the 2.1 Labor Market Structure checklist</v>
      </c>
      <c r="F10" s="624"/>
      <c r="G10" s="624"/>
      <c r="H10" s="624"/>
      <c r="I10" s="624"/>
      <c r="K10" s="294"/>
      <c r="L10" s="294"/>
      <c r="M10" s="630" t="s">
        <v>213</v>
      </c>
      <c r="N10" s="630"/>
      <c r="O10" s="630"/>
      <c r="P10" s="477">
        <f>HLOOKUP(CONCATENATE("lav",$K$4), linkage_aggregate_variables!$B:$AA, Q10, 0)*100</f>
        <v>0.45339027689430544</v>
      </c>
      <c r="Q10" s="11">
        <v>21</v>
      </c>
    </row>
    <row r="11" spans="1:17" ht="15" customHeight="1" x14ac:dyDescent="0.2">
      <c r="B11" s="620" t="s">
        <v>245</v>
      </c>
      <c r="C11" s="620"/>
      <c r="D11" s="620"/>
      <c r="E11" s="625" t="str">
        <f>IF(( AND( 'CONTROL '!B8=TRUE, 'CONTROL '!B9=TRUE, 'CONTROL '!B10=TRUE, 'CONTROL '!B11=TRUE)),"revised","Please, revise the "&amp;B11&amp;" checklist")</f>
        <v>Please, revise the 2.2 Labor Income &amp; Productivity checklist</v>
      </c>
      <c r="F11" s="625"/>
      <c r="G11" s="625"/>
      <c r="H11" s="625"/>
      <c r="I11" s="625"/>
      <c r="J11" s="294"/>
      <c r="K11" s="294"/>
      <c r="L11" s="294"/>
      <c r="M11" s="634" t="s">
        <v>243</v>
      </c>
      <c r="N11" s="634"/>
      <c r="O11" s="634"/>
      <c r="P11" s="634"/>
      <c r="Q11" s="11"/>
    </row>
    <row r="12" spans="1:17" x14ac:dyDescent="0.2">
      <c r="B12" s="621" t="s">
        <v>57</v>
      </c>
      <c r="C12" s="621"/>
      <c r="D12" s="621"/>
      <c r="E12" s="626" t="str">
        <f>IF('CONTROL '!B12=TRUE,"revised","Please, revise the "&amp;B12&amp;" checklist")</f>
        <v>Please, revise the Elasticities checklist</v>
      </c>
      <c r="F12" s="626"/>
      <c r="G12" s="626"/>
      <c r="H12" s="626"/>
      <c r="I12" s="626"/>
      <c r="J12" s="294"/>
      <c r="K12" s="294"/>
      <c r="L12" s="294"/>
      <c r="M12" s="635" t="s">
        <v>244</v>
      </c>
      <c r="N12" s="635"/>
      <c r="O12" s="635"/>
      <c r="P12" s="635"/>
      <c r="Q12" s="11"/>
    </row>
    <row r="13" spans="1:17" x14ac:dyDescent="0.2">
      <c r="B13" s="621" t="s">
        <v>195</v>
      </c>
      <c r="C13" s="621"/>
      <c r="D13" s="621"/>
      <c r="E13" s="626" t="str">
        <f>IF(( AND( 'CONTROL '!B13, 'CONTROL '!B14=TRUE)),"revised","Please, revise the "&amp;B13&amp;" checklist")</f>
        <v>Please, revise the Growth Rates checklist</v>
      </c>
      <c r="F13" s="626"/>
      <c r="G13" s="626"/>
      <c r="H13" s="626"/>
      <c r="I13" s="626"/>
      <c r="J13" s="294"/>
      <c r="K13" s="294"/>
      <c r="L13" s="294"/>
      <c r="M13" s="623" t="s">
        <v>390</v>
      </c>
      <c r="N13" s="623" t="s">
        <v>390</v>
      </c>
      <c r="O13" s="623" t="s">
        <v>390</v>
      </c>
      <c r="P13" s="209">
        <f>HLOOKUP(CONCATENATE("value",$K$4), linkage_aggregate_variables!$B:$AA, Q13, 0)</f>
        <v>25077.966081682498</v>
      </c>
      <c r="Q13" s="11">
        <v>24</v>
      </c>
    </row>
    <row r="14" spans="1:17" x14ac:dyDescent="0.2">
      <c r="B14" s="622" t="s">
        <v>246</v>
      </c>
      <c r="C14" s="622"/>
      <c r="D14" s="622"/>
      <c r="E14" s="627" t="str">
        <f>IF(( AND( 'CONTROL '!B15, 'CONTROL '!B16=TRUE)),"revised","Please, revise the "&amp;B14&amp;" checklist")</f>
        <v>Please, revise the 3. Non Labor Income checklist</v>
      </c>
      <c r="F14" s="627"/>
      <c r="G14" s="627"/>
      <c r="H14" s="627"/>
      <c r="I14" s="627"/>
      <c r="J14" s="294"/>
      <c r="K14" s="294"/>
      <c r="L14" s="294"/>
      <c r="M14" s="623" t="s">
        <v>389</v>
      </c>
      <c r="N14" s="623" t="s">
        <v>389</v>
      </c>
      <c r="O14" s="623" t="s">
        <v>389</v>
      </c>
      <c r="P14" s="209">
        <f>HLOOKUP(CONCATENATE("value",$K$4), linkage_aggregate_variables!$B:$AA, Q14, 0)</f>
        <v>2.087419180990048</v>
      </c>
      <c r="Q14" s="11">
        <v>25</v>
      </c>
    </row>
    <row r="15" spans="1:17" x14ac:dyDescent="0.2">
      <c r="B15" s="611" t="s">
        <v>603</v>
      </c>
      <c r="C15" s="611"/>
      <c r="D15" s="611"/>
      <c r="E15" s="612" t="s">
        <v>604</v>
      </c>
      <c r="F15" s="612"/>
      <c r="G15" s="612"/>
      <c r="H15" s="612"/>
      <c r="I15" s="612"/>
      <c r="J15" s="294"/>
      <c r="K15" s="294"/>
      <c r="L15" s="294"/>
      <c r="M15" s="623" t="s">
        <v>391</v>
      </c>
      <c r="N15" s="623" t="s">
        <v>391</v>
      </c>
      <c r="O15" s="623" t="s">
        <v>391</v>
      </c>
      <c r="P15" s="209">
        <f>HLOOKUP(CONCATENATE("value",$K$4), linkage_aggregate_variables!$B:$AA, Q15, 0)</f>
        <v>2.087419180990048</v>
      </c>
      <c r="Q15" s="11">
        <v>26</v>
      </c>
    </row>
    <row r="16" spans="1:17" x14ac:dyDescent="0.2">
      <c r="B16" s="93"/>
      <c r="C16" s="93"/>
      <c r="D16" s="93"/>
      <c r="E16" s="93"/>
      <c r="F16" s="93"/>
      <c r="G16" s="93"/>
      <c r="H16" s="93"/>
      <c r="I16" s="93"/>
      <c r="J16" s="294"/>
      <c r="K16" s="294"/>
      <c r="L16" s="294"/>
      <c r="M16" s="623" t="s">
        <v>392</v>
      </c>
      <c r="N16" s="623" t="s">
        <v>392</v>
      </c>
      <c r="O16" s="623" t="s">
        <v>392</v>
      </c>
      <c r="P16" s="209">
        <f>HLOOKUP(CONCATENATE("value",$K$4), linkage_aggregate_variables!$B:$AA, Q16, 0)</f>
        <v>0</v>
      </c>
      <c r="Q16" s="86">
        <v>27</v>
      </c>
    </row>
    <row r="17" spans="2:17" x14ac:dyDescent="0.2">
      <c r="B17" s="608"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08"/>
      <c r="D17" s="608"/>
      <c r="E17" s="608"/>
      <c r="F17" s="608"/>
      <c r="G17" s="608"/>
      <c r="H17" s="608"/>
      <c r="I17" s="608"/>
      <c r="J17" s="294"/>
      <c r="K17" s="294"/>
      <c r="L17" s="294"/>
      <c r="M17" s="623" t="s">
        <v>403</v>
      </c>
      <c r="N17" s="623" t="s">
        <v>403</v>
      </c>
      <c r="O17" s="623" t="s">
        <v>403</v>
      </c>
      <c r="P17" s="209">
        <f>HLOOKUP(CONCATENATE("value",$K$4), linkage_aggregate_variables!$B:$AA, Q17, 0)</f>
        <v>0</v>
      </c>
      <c r="Q17" s="11">
        <v>28</v>
      </c>
    </row>
    <row r="18" spans="2:17" x14ac:dyDescent="0.2">
      <c r="B18" s="608"/>
      <c r="C18" s="608"/>
      <c r="D18" s="608"/>
      <c r="E18" s="608"/>
      <c r="F18" s="608"/>
      <c r="G18" s="608"/>
      <c r="H18" s="608"/>
      <c r="I18" s="608"/>
      <c r="K18" s="294"/>
      <c r="L18" s="294"/>
      <c r="M18" s="623" t="s">
        <v>393</v>
      </c>
      <c r="N18" s="623" t="s">
        <v>393</v>
      </c>
      <c r="O18" s="623" t="s">
        <v>393</v>
      </c>
      <c r="P18" s="209">
        <f>HLOOKUP(CONCATENATE("value",$K$4), linkage_aggregate_variables!$B:$AA, Q18, 0)</f>
        <v>0</v>
      </c>
      <c r="Q18" s="11">
        <v>29</v>
      </c>
    </row>
    <row r="19" spans="2:17" x14ac:dyDescent="0.2">
      <c r="B19" s="608"/>
      <c r="C19" s="608"/>
      <c r="D19" s="608"/>
      <c r="E19" s="608"/>
      <c r="F19" s="608"/>
      <c r="G19" s="608"/>
      <c r="H19" s="608"/>
      <c r="I19" s="608"/>
      <c r="K19" s="294"/>
      <c r="L19" s="294"/>
      <c r="M19" s="623" t="s">
        <v>395</v>
      </c>
      <c r="N19" s="623" t="s">
        <v>395</v>
      </c>
      <c r="O19" s="623" t="s">
        <v>395</v>
      </c>
      <c r="P19" s="209">
        <f>HLOOKUP(CONCATENATE("value",$K$4), linkage_aggregate_variables!$B:$AA, Q19, 0)</f>
        <v>0</v>
      </c>
      <c r="Q19" s="11">
        <v>30</v>
      </c>
    </row>
    <row r="20" spans="2:17" x14ac:dyDescent="0.2">
      <c r="B20" s="242"/>
      <c r="C20" s="242"/>
      <c r="D20" s="242"/>
      <c r="E20" s="242"/>
      <c r="F20" s="242"/>
      <c r="G20" s="242"/>
      <c r="H20" s="242"/>
      <c r="I20" s="242"/>
      <c r="K20" s="294"/>
      <c r="L20" s="294"/>
      <c r="M20" s="623" t="s">
        <v>396</v>
      </c>
      <c r="N20" s="623" t="s">
        <v>396</v>
      </c>
      <c r="O20" s="623" t="s">
        <v>396</v>
      </c>
      <c r="P20" s="209">
        <f>HLOOKUP(CONCATENATE("value",$K$4), linkage_aggregate_variables!$B:$AA, Q20, 0)</f>
        <v>0</v>
      </c>
      <c r="Q20" s="86">
        <v>31</v>
      </c>
    </row>
    <row r="21" spans="2:17" x14ac:dyDescent="0.2">
      <c r="B21" s="609"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09"/>
      <c r="D21" s="609"/>
      <c r="E21" s="609"/>
      <c r="F21" s="609"/>
      <c r="G21" s="609"/>
      <c r="H21" s="609"/>
      <c r="I21" s="609"/>
      <c r="K21" s="294"/>
      <c r="L21" s="294"/>
      <c r="M21" s="623" t="s">
        <v>397</v>
      </c>
      <c r="N21" s="623" t="s">
        <v>397</v>
      </c>
      <c r="O21" s="623" t="s">
        <v>397</v>
      </c>
      <c r="P21" s="209">
        <f>HLOOKUP(CONCATENATE("value",$K$4), linkage_aggregate_variables!$B:$AA, Q21, 0)</f>
        <v>0</v>
      </c>
      <c r="Q21" s="86">
        <v>32</v>
      </c>
    </row>
    <row r="22" spans="2:17" ht="15" customHeight="1" x14ac:dyDescent="0.2">
      <c r="B22" s="609"/>
      <c r="C22" s="609"/>
      <c r="D22" s="609"/>
      <c r="E22" s="609"/>
      <c r="F22" s="609"/>
      <c r="G22" s="609"/>
      <c r="H22" s="609"/>
      <c r="I22" s="609"/>
      <c r="K22" s="294"/>
      <c r="L22" s="294"/>
      <c r="M22" s="623" t="s">
        <v>398</v>
      </c>
      <c r="N22" s="623" t="s">
        <v>398</v>
      </c>
      <c r="O22" s="623" t="s">
        <v>398</v>
      </c>
      <c r="P22" s="209">
        <f>HLOOKUP(CONCATENATE("value",$K$4), linkage_aggregate_variables!$B:$AA, Q22, 0)</f>
        <v>178106140.13671875</v>
      </c>
      <c r="Q22" s="11">
        <v>33</v>
      </c>
    </row>
    <row r="23" spans="2:17" x14ac:dyDescent="0.2">
      <c r="B23" s="93"/>
      <c r="C23" s="93"/>
      <c r="D23" s="93"/>
      <c r="E23" s="93"/>
      <c r="F23" s="93"/>
      <c r="G23" s="93"/>
      <c r="H23" s="93"/>
      <c r="I23" s="93"/>
      <c r="K23" s="294"/>
      <c r="L23" s="294"/>
      <c r="M23" s="623" t="s">
        <v>399</v>
      </c>
      <c r="N23" s="623" t="s">
        <v>399</v>
      </c>
      <c r="O23" s="623" t="s">
        <v>399</v>
      </c>
      <c r="P23" s="209">
        <f>HLOOKUP(CONCATENATE("value",$K$4), linkage_aggregate_variables!$B:$AA, Q23, 0)</f>
        <v>0</v>
      </c>
      <c r="Q23" s="11">
        <v>34</v>
      </c>
    </row>
    <row r="24" spans="2:17" x14ac:dyDescent="0.2">
      <c r="B24" s="93"/>
      <c r="C24" s="93"/>
      <c r="D24" s="93"/>
      <c r="E24" s="93"/>
      <c r="F24" s="93"/>
      <c r="G24" s="93"/>
      <c r="H24" s="93"/>
      <c r="I24" s="93"/>
      <c r="K24" s="294"/>
      <c r="L24" s="294"/>
      <c r="M24" s="623" t="s">
        <v>400</v>
      </c>
      <c r="N24" s="623" t="s">
        <v>400</v>
      </c>
      <c r="O24" s="623" t="s">
        <v>400</v>
      </c>
      <c r="P24" s="209">
        <f>HLOOKUP(CONCATENATE("value",$K$4), linkage_aggregate_variables!$B:$AA, Q24, 0)</f>
        <v>0</v>
      </c>
      <c r="Q24" s="11">
        <v>35</v>
      </c>
    </row>
    <row r="25" spans="2:17" ht="14.25" customHeight="1" x14ac:dyDescent="0.2">
      <c r="B25" s="93"/>
      <c r="C25" s="93"/>
      <c r="D25" s="93"/>
      <c r="E25" s="93"/>
      <c r="F25" s="93"/>
      <c r="G25" s="93"/>
      <c r="H25" s="93"/>
      <c r="I25" s="93"/>
      <c r="K25" s="294"/>
      <c r="L25" s="294"/>
      <c r="M25" s="635" t="s">
        <v>159</v>
      </c>
      <c r="N25" s="635"/>
      <c r="O25" s="635"/>
      <c r="P25" s="635"/>
      <c r="Q25" s="11"/>
    </row>
    <row r="26" spans="2:17" x14ac:dyDescent="0.2">
      <c r="B26" s="93"/>
      <c r="C26" s="93"/>
      <c r="D26" s="93"/>
      <c r="E26" s="93"/>
      <c r="F26" s="93"/>
      <c r="G26" s="93"/>
      <c r="H26" s="93"/>
      <c r="I26" s="93"/>
      <c r="K26" s="294"/>
      <c r="L26" s="294"/>
      <c r="M26" s="623" t="s">
        <v>29</v>
      </c>
      <c r="N26" s="623" t="s">
        <v>29</v>
      </c>
      <c r="O26" s="623" t="s">
        <v>29</v>
      </c>
      <c r="P26" s="209">
        <f>HLOOKUP(CONCATENATE("value",$K$4), linkage_aggregate_variables!$B:$AA, Q26, 0)</f>
        <v>0</v>
      </c>
      <c r="Q26" s="11">
        <v>36</v>
      </c>
    </row>
    <row r="27" spans="2:17" ht="15" thickBot="1" x14ac:dyDescent="0.25">
      <c r="B27" s="93"/>
      <c r="C27" s="93"/>
      <c r="D27" s="93"/>
      <c r="E27" s="93"/>
      <c r="F27" s="93"/>
      <c r="G27" s="93"/>
      <c r="H27" s="93"/>
      <c r="I27" s="93"/>
      <c r="K27" s="294"/>
      <c r="L27" s="294"/>
      <c r="M27" s="623" t="s">
        <v>385</v>
      </c>
      <c r="N27" s="623" t="s">
        <v>385</v>
      </c>
      <c r="O27" s="623" t="s">
        <v>385</v>
      </c>
      <c r="P27" s="209">
        <f>HLOOKUP(CONCATENATE("value",$K$4), linkage_aggregate_variables!$B:$AA, Q27, 0)</f>
        <v>0</v>
      </c>
      <c r="Q27" s="12">
        <v>37</v>
      </c>
    </row>
    <row r="28" spans="2:17" x14ac:dyDescent="0.2">
      <c r="B28" s="93"/>
      <c r="C28" s="93"/>
      <c r="D28" s="93"/>
      <c r="E28" s="93"/>
      <c r="F28" s="93"/>
      <c r="G28" s="93"/>
      <c r="H28" s="93"/>
      <c r="I28" s="93"/>
      <c r="K28" s="294"/>
      <c r="L28" s="294"/>
      <c r="M28" s="623" t="s">
        <v>402</v>
      </c>
      <c r="N28" s="623" t="s">
        <v>402</v>
      </c>
      <c r="O28" s="623" t="s">
        <v>402</v>
      </c>
      <c r="P28" s="209">
        <f>HLOOKUP(CONCATENATE("value",$K$4), linkage_aggregate_variables!$B:$AA, Q28, 0)</f>
        <v>0</v>
      </c>
      <c r="Q28" s="86">
        <v>38</v>
      </c>
    </row>
    <row r="29" spans="2:17" x14ac:dyDescent="0.2">
      <c r="B29" s="610" t="s">
        <v>248</v>
      </c>
      <c r="C29" s="610"/>
      <c r="D29" s="610"/>
      <c r="E29" s="610"/>
      <c r="F29" s="610"/>
      <c r="G29" s="610"/>
      <c r="H29" s="610"/>
      <c r="I29" s="610"/>
      <c r="K29" s="294"/>
      <c r="L29" s="294"/>
      <c r="M29" s="623" t="s">
        <v>386</v>
      </c>
      <c r="N29" s="623" t="s">
        <v>386</v>
      </c>
      <c r="O29" s="623" t="s">
        <v>386</v>
      </c>
      <c r="P29" s="209">
        <f>HLOOKUP(CONCATENATE("value",$K$4), linkage_aggregate_variables!$B:$AA, Q29, 0)</f>
        <v>0</v>
      </c>
      <c r="Q29" s="11">
        <v>39</v>
      </c>
    </row>
    <row r="30" spans="2:17" ht="15.75" customHeight="1" x14ac:dyDescent="0.2">
      <c r="B30" s="610"/>
      <c r="C30" s="610"/>
      <c r="D30" s="610"/>
      <c r="E30" s="610"/>
      <c r="F30" s="610"/>
      <c r="G30" s="610"/>
      <c r="H30" s="610"/>
      <c r="I30" s="610"/>
      <c r="K30" s="93"/>
      <c r="L30" s="93"/>
      <c r="M30" s="623" t="s">
        <v>387</v>
      </c>
      <c r="N30" s="623" t="s">
        <v>387</v>
      </c>
      <c r="O30" s="623" t="s">
        <v>387</v>
      </c>
      <c r="P30" s="209">
        <f>HLOOKUP(CONCATENATE("value",$K$4), linkage_aggregate_variables!$B:$AA, Q30, 0)</f>
        <v>0</v>
      </c>
      <c r="Q30" s="86">
        <v>40</v>
      </c>
    </row>
    <row r="31" spans="2:17" x14ac:dyDescent="0.2">
      <c r="B31" s="243"/>
      <c r="C31" s="243"/>
      <c r="D31" s="243"/>
      <c r="E31" s="243"/>
      <c r="F31" s="243"/>
      <c r="G31" s="243"/>
      <c r="H31" s="243"/>
      <c r="I31" s="243"/>
      <c r="K31" s="93"/>
      <c r="L31" s="93"/>
      <c r="M31" s="623" t="s">
        <v>388</v>
      </c>
      <c r="N31" s="623" t="s">
        <v>388</v>
      </c>
      <c r="O31" s="623" t="s">
        <v>388</v>
      </c>
      <c r="P31" s="209">
        <f>HLOOKUP(CONCATENATE("value",$K$4), linkage_aggregate_variables!$B:$AA, Q31, 0)</f>
        <v>0</v>
      </c>
      <c r="Q31" s="11">
        <v>41</v>
      </c>
    </row>
    <row r="32" spans="2:17" x14ac:dyDescent="0.2">
      <c r="B32" s="607" t="s">
        <v>251</v>
      </c>
      <c r="C32" s="607"/>
      <c r="D32" s="607"/>
      <c r="E32" s="607"/>
      <c r="F32" s="607"/>
      <c r="G32" s="607"/>
      <c r="H32" s="607"/>
      <c r="I32" s="607"/>
      <c r="K32" s="93"/>
      <c r="L32" s="93"/>
      <c r="M32" s="636" t="s">
        <v>91</v>
      </c>
      <c r="N32" s="636"/>
      <c r="O32" s="636"/>
      <c r="P32" s="636"/>
      <c r="Q32" s="86"/>
    </row>
    <row r="33" spans="2:17" x14ac:dyDescent="0.2">
      <c r="B33" s="607"/>
      <c r="C33" s="607"/>
      <c r="D33" s="607"/>
      <c r="E33" s="607"/>
      <c r="F33" s="607"/>
      <c r="G33" s="607"/>
      <c r="H33" s="607"/>
      <c r="I33" s="607"/>
      <c r="K33" s="93"/>
      <c r="L33" s="93"/>
      <c r="M33" s="633" t="s">
        <v>247</v>
      </c>
      <c r="N33" s="633"/>
      <c r="O33" s="633"/>
      <c r="P33" s="633"/>
      <c r="Q33" s="390"/>
    </row>
    <row r="34" spans="2:17" x14ac:dyDescent="0.2">
      <c r="B34" s="117"/>
      <c r="C34" s="117"/>
      <c r="D34" s="117"/>
      <c r="E34" s="117"/>
      <c r="F34" s="117"/>
      <c r="G34" s="117"/>
      <c r="H34" s="117"/>
      <c r="I34" s="117"/>
      <c r="K34" s="93"/>
      <c r="L34" s="93"/>
      <c r="M34" s="631" t="s">
        <v>390</v>
      </c>
      <c r="N34" s="631" t="s">
        <v>390</v>
      </c>
      <c r="O34" s="631" t="s">
        <v>390</v>
      </c>
      <c r="P34" s="478">
        <f>HLOOKUP(CONCATENATE("value",$K$4), linkage_aggregate_variables!$B:$AA, Q34, 0)</f>
        <v>274.14241769966162</v>
      </c>
      <c r="Q34" s="390">
        <v>2</v>
      </c>
    </row>
    <row r="35" spans="2:17" x14ac:dyDescent="0.2">
      <c r="B35" s="117"/>
      <c r="C35" s="117"/>
      <c r="D35" s="117"/>
      <c r="E35" s="117"/>
      <c r="F35" s="117"/>
      <c r="G35" s="117"/>
      <c r="H35" s="117"/>
      <c r="I35" s="117"/>
      <c r="K35" s="93"/>
      <c r="L35" s="93"/>
      <c r="M35" s="631" t="s">
        <v>389</v>
      </c>
      <c r="N35" s="631" t="s">
        <v>389</v>
      </c>
      <c r="O35" s="631" t="s">
        <v>389</v>
      </c>
      <c r="P35" s="478">
        <f>HLOOKUP(CONCATENATE("value",$K$4), linkage_aggregate_variables!$B:$AA, Q35, 0)</f>
        <v>410.13066648659691</v>
      </c>
      <c r="Q35" s="390">
        <v>3</v>
      </c>
    </row>
    <row r="36" spans="2:17" x14ac:dyDescent="0.2">
      <c r="B36" s="117"/>
      <c r="C36" s="117"/>
      <c r="D36" s="117"/>
      <c r="E36" s="117"/>
      <c r="F36" s="117"/>
      <c r="G36" s="117"/>
      <c r="H36" s="117"/>
      <c r="I36" s="117"/>
      <c r="K36" s="93"/>
      <c r="L36" s="93"/>
      <c r="M36" s="631" t="s">
        <v>391</v>
      </c>
      <c r="N36" s="631" t="s">
        <v>391</v>
      </c>
      <c r="O36" s="631" t="s">
        <v>391</v>
      </c>
      <c r="P36" s="478">
        <f>HLOOKUP(CONCATENATE("value",$K$4), linkage_aggregate_variables!$B:$AA, Q36, 0)</f>
        <v>582.60832589272218</v>
      </c>
      <c r="Q36" s="390">
        <v>4</v>
      </c>
    </row>
    <row r="37" spans="2:17" x14ac:dyDescent="0.2">
      <c r="B37" s="117"/>
      <c r="C37" s="117"/>
      <c r="D37" s="117"/>
      <c r="E37" s="117"/>
      <c r="F37" s="117"/>
      <c r="G37" s="117"/>
      <c r="H37" s="117"/>
      <c r="I37" s="117"/>
      <c r="K37" s="93"/>
      <c r="L37" s="93"/>
      <c r="M37" s="631" t="s">
        <v>392</v>
      </c>
      <c r="N37" s="631" t="s">
        <v>392</v>
      </c>
      <c r="O37" s="631" t="s">
        <v>392</v>
      </c>
      <c r="P37" s="478">
        <f>HLOOKUP(CONCATENATE("value",$K$4), linkage_aggregate_variables!$B:$AA, Q37, 0)</f>
        <v>870.80896898877427</v>
      </c>
      <c r="Q37" s="390">
        <v>5</v>
      </c>
    </row>
    <row r="38" spans="2:17" x14ac:dyDescent="0.2">
      <c r="B38" s="117"/>
      <c r="C38" s="117"/>
      <c r="D38" s="117"/>
      <c r="E38" s="117"/>
      <c r="F38" s="117"/>
      <c r="G38" s="117"/>
      <c r="H38" s="117"/>
      <c r="I38" s="117"/>
      <c r="K38" s="93"/>
      <c r="L38" s="93"/>
      <c r="M38" s="631" t="s">
        <v>403</v>
      </c>
      <c r="N38" s="631" t="s">
        <v>403</v>
      </c>
      <c r="O38" s="631" t="s">
        <v>403</v>
      </c>
      <c r="P38" s="478">
        <f>HLOOKUP(CONCATENATE("value",$K$4), linkage_aggregate_variables!$B:$AA, Q38, 0)</f>
        <v>504.61262546594776</v>
      </c>
      <c r="Q38" s="390">
        <v>6</v>
      </c>
    </row>
    <row r="39" spans="2:17" x14ac:dyDescent="0.2">
      <c r="B39" s="117"/>
      <c r="C39" s="117"/>
      <c r="D39" s="117"/>
      <c r="E39" s="117"/>
      <c r="F39" s="117"/>
      <c r="G39" s="117"/>
      <c r="H39" s="117"/>
      <c r="I39" s="117"/>
      <c r="K39" s="93"/>
      <c r="L39" s="93"/>
      <c r="M39" s="631" t="s">
        <v>393</v>
      </c>
      <c r="N39" s="631" t="s">
        <v>393</v>
      </c>
      <c r="O39" s="631" t="s">
        <v>393</v>
      </c>
      <c r="P39" s="478">
        <f>HLOOKUP(CONCATENATE("value",$K$4), linkage_aggregate_variables!$B:$AA, Q39, 0)</f>
        <v>1210.7204364437807</v>
      </c>
      <c r="Q39" s="390">
        <v>7</v>
      </c>
    </row>
    <row r="40" spans="2:17" x14ac:dyDescent="0.2">
      <c r="B40" s="117"/>
      <c r="C40" s="117"/>
      <c r="D40" s="117"/>
      <c r="E40" s="117"/>
      <c r="F40" s="117"/>
      <c r="G40" s="117"/>
      <c r="H40" s="117"/>
      <c r="I40" s="117"/>
      <c r="K40" s="93"/>
      <c r="L40" s="93"/>
      <c r="M40" s="631" t="s">
        <v>395</v>
      </c>
      <c r="N40" s="631" t="s">
        <v>395</v>
      </c>
      <c r="O40" s="631" t="s">
        <v>395</v>
      </c>
      <c r="P40" s="478">
        <f>HLOOKUP(CONCATENATE("value",$K$4), linkage_aggregate_variables!$B:$AA, Q40, 0)</f>
        <v>648.3007558536242</v>
      </c>
      <c r="Q40" s="390">
        <v>8</v>
      </c>
    </row>
    <row r="41" spans="2:17" x14ac:dyDescent="0.2">
      <c r="B41" s="117"/>
      <c r="C41" s="117"/>
      <c r="D41" s="117"/>
      <c r="E41" s="117"/>
      <c r="F41" s="117"/>
      <c r="G41" s="117"/>
      <c r="H41" s="117"/>
      <c r="I41" s="117"/>
      <c r="K41" s="93"/>
      <c r="L41" s="93"/>
      <c r="M41" s="631" t="s">
        <v>396</v>
      </c>
      <c r="N41" s="631" t="s">
        <v>396</v>
      </c>
      <c r="O41" s="631" t="s">
        <v>396</v>
      </c>
      <c r="P41" s="478">
        <f>HLOOKUP(CONCATENATE("value",$K$4), linkage_aggregate_variables!$B:$AA, Q41, 0)</f>
        <v>3845542.8385506608</v>
      </c>
      <c r="Q41" s="390">
        <v>9</v>
      </c>
    </row>
    <row r="42" spans="2:17" x14ac:dyDescent="0.2">
      <c r="B42" s="117"/>
      <c r="C42" s="117"/>
      <c r="D42" s="117"/>
      <c r="E42" s="117"/>
      <c r="F42" s="117"/>
      <c r="G42" s="117"/>
      <c r="H42" s="117"/>
      <c r="I42" s="117"/>
      <c r="K42" s="93"/>
      <c r="L42" s="93"/>
      <c r="M42" s="631" t="s">
        <v>397</v>
      </c>
      <c r="N42" s="631" t="s">
        <v>397</v>
      </c>
      <c r="O42" s="631" t="s">
        <v>397</v>
      </c>
      <c r="P42" s="478">
        <f>HLOOKUP(CONCATENATE("value",$K$4), linkage_aggregate_variables!$B:$AA, Q42, 0)</f>
        <v>14261664.249595771</v>
      </c>
      <c r="Q42" s="390">
        <v>10</v>
      </c>
    </row>
    <row r="43" spans="2:17" x14ac:dyDescent="0.2">
      <c r="B43" s="117"/>
      <c r="C43" s="117"/>
      <c r="D43" s="117"/>
      <c r="E43" s="117"/>
      <c r="F43" s="117"/>
      <c r="G43" s="117"/>
      <c r="H43" s="117"/>
      <c r="I43" s="117"/>
      <c r="K43" s="93"/>
      <c r="L43" s="93"/>
      <c r="M43" s="631" t="s">
        <v>398</v>
      </c>
      <c r="N43" s="631" t="s">
        <v>398</v>
      </c>
      <c r="O43" s="631" t="s">
        <v>398</v>
      </c>
      <c r="P43" s="478">
        <f>HLOOKUP(CONCATENATE("value",$K$4), linkage_aggregate_variables!$B:$AA, Q43, 0)</f>
        <v>18616921.610366233</v>
      </c>
      <c r="Q43" s="390">
        <v>11</v>
      </c>
    </row>
    <row r="44" spans="2:17" x14ac:dyDescent="0.2">
      <c r="B44" s="117"/>
      <c r="C44" s="117"/>
      <c r="D44" s="117"/>
      <c r="E44" s="117"/>
      <c r="F44" s="117"/>
      <c r="G44" s="117"/>
      <c r="H44" s="117"/>
      <c r="I44" s="117"/>
      <c r="K44" s="93"/>
      <c r="L44" s="93"/>
      <c r="M44" s="631" t="s">
        <v>399</v>
      </c>
      <c r="N44" s="631" t="s">
        <v>399</v>
      </c>
      <c r="O44" s="631" t="s">
        <v>399</v>
      </c>
      <c r="P44" s="478">
        <f>HLOOKUP(CONCATENATE("value",$K$4), linkage_aggregate_variables!$B:$AA, Q44, 0)</f>
        <v>37965693.008444853</v>
      </c>
      <c r="Q44" s="390">
        <v>12</v>
      </c>
    </row>
    <row r="45" spans="2:17" x14ac:dyDescent="0.2">
      <c r="B45" s="117"/>
      <c r="C45" s="117"/>
      <c r="D45" s="117"/>
      <c r="E45" s="117"/>
      <c r="F45" s="117"/>
      <c r="G45" s="117"/>
      <c r="H45" s="117"/>
      <c r="I45" s="117"/>
      <c r="K45" s="93"/>
      <c r="L45" s="93"/>
      <c r="M45" s="631" t="s">
        <v>400</v>
      </c>
      <c r="N45" s="631" t="s">
        <v>400</v>
      </c>
      <c r="O45" s="631" t="s">
        <v>400</v>
      </c>
      <c r="P45" s="478">
        <f>HLOOKUP(CONCATENATE("value",$K$4), linkage_aggregate_variables!$B:$AA, Q45, 0)</f>
        <v>50.193321672301202</v>
      </c>
      <c r="Q45" s="390">
        <v>13</v>
      </c>
    </row>
    <row r="46" spans="2:17" x14ac:dyDescent="0.2">
      <c r="B46" s="117"/>
      <c r="C46" s="117"/>
      <c r="D46" s="117"/>
      <c r="E46" s="117"/>
      <c r="F46" s="117"/>
      <c r="G46" s="117"/>
      <c r="H46" s="117"/>
      <c r="I46" s="117"/>
      <c r="K46" s="93"/>
      <c r="L46" s="93"/>
      <c r="M46" s="632" t="s">
        <v>590</v>
      </c>
      <c r="N46" s="632"/>
      <c r="O46" s="632"/>
      <c r="P46" s="632"/>
      <c r="Q46" s="390"/>
    </row>
    <row r="47" spans="2:17" x14ac:dyDescent="0.2">
      <c r="B47" s="117"/>
      <c r="C47" s="117"/>
      <c r="D47" s="117"/>
      <c r="E47" s="117"/>
      <c r="F47" s="117"/>
      <c r="G47" s="117"/>
      <c r="H47" s="117"/>
      <c r="I47" s="117"/>
      <c r="K47" s="93"/>
      <c r="L47" s="93"/>
      <c r="M47" s="628" t="s">
        <v>249</v>
      </c>
      <c r="N47" s="628"/>
      <c r="O47" s="628"/>
      <c r="P47" s="479">
        <f>HLOOKUP(CONCATENATE("lav",$K$4), linkage_aggregate_variables!$B:$AA, Q47, 0)*100</f>
        <v>0</v>
      </c>
      <c r="Q47" s="390">
        <v>42</v>
      </c>
    </row>
    <row r="48" spans="2:17" x14ac:dyDescent="0.2">
      <c r="B48" s="117"/>
      <c r="C48" s="117"/>
      <c r="D48" s="117"/>
      <c r="E48" s="117"/>
      <c r="F48" s="117"/>
      <c r="G48" s="117"/>
      <c r="H48" s="117"/>
      <c r="I48" s="117"/>
      <c r="K48" s="93"/>
      <c r="L48" s="93"/>
      <c r="M48" s="628" t="s">
        <v>250</v>
      </c>
      <c r="N48" s="628"/>
      <c r="O48" s="628"/>
      <c r="P48" s="210" t="str">
        <f>'3. NON-LABOR INCOME'!D11</f>
        <v>Neutral Distribution</v>
      </c>
      <c r="Q48" s="390"/>
    </row>
    <row r="49" spans="2:17" x14ac:dyDescent="0.2">
      <c r="B49" s="117"/>
      <c r="C49" s="117"/>
      <c r="D49" s="117"/>
      <c r="E49" s="117"/>
      <c r="F49" s="117"/>
      <c r="G49" s="117"/>
      <c r="H49" s="117"/>
      <c r="I49" s="117"/>
      <c r="K49" s="93"/>
      <c r="L49" s="93"/>
      <c r="M49" s="628" t="s">
        <v>252</v>
      </c>
      <c r="N49" s="628"/>
      <c r="O49" s="628"/>
      <c r="P49" s="479">
        <f>HLOOKUP(CONCATENATE("lav",$K$4), linkage_aggregate_variables!$B:$AA, Q49, 0)*100</f>
        <v>0</v>
      </c>
      <c r="Q49" s="390">
        <v>43</v>
      </c>
    </row>
    <row r="50" spans="2:17" x14ac:dyDescent="0.2">
      <c r="B50" s="117"/>
      <c r="C50" s="117"/>
      <c r="D50" s="117"/>
      <c r="E50" s="117"/>
      <c r="F50" s="117"/>
      <c r="G50" s="117"/>
      <c r="H50" s="117"/>
      <c r="I50" s="117"/>
      <c r="K50" s="93"/>
      <c r="L50" s="93"/>
      <c r="M50" s="628" t="s">
        <v>79</v>
      </c>
      <c r="N50" s="628"/>
      <c r="O50" s="628"/>
      <c r="P50" s="479" t="str">
        <f>'3. NON-LABOR INCOME'!D12</f>
        <v>No</v>
      </c>
      <c r="Q50" s="390"/>
    </row>
    <row r="51" spans="2:17" x14ac:dyDescent="0.2">
      <c r="B51" s="117"/>
      <c r="C51" s="117"/>
      <c r="D51" s="117"/>
      <c r="E51" s="117"/>
      <c r="F51" s="117"/>
      <c r="G51" s="117"/>
      <c r="H51" s="117"/>
      <c r="I51" s="117"/>
      <c r="K51" s="93"/>
      <c r="L51" s="93"/>
      <c r="M51" s="489"/>
      <c r="N51" s="489"/>
      <c r="O51" s="489"/>
      <c r="P51" s="490"/>
      <c r="Q51" s="390"/>
    </row>
    <row r="52" spans="2:17" x14ac:dyDescent="0.2">
      <c r="B52" s="117"/>
      <c r="C52" s="117"/>
      <c r="D52" s="117"/>
      <c r="E52" s="117"/>
      <c r="F52" s="117"/>
      <c r="G52" s="117"/>
      <c r="H52" s="117"/>
      <c r="I52" s="117"/>
      <c r="K52" s="93"/>
      <c r="L52" s="93"/>
      <c r="M52" s="487" t="s">
        <v>599</v>
      </c>
      <c r="N52" s="487"/>
      <c r="O52" s="487"/>
      <c r="P52" s="488"/>
      <c r="Q52" s="390"/>
    </row>
    <row r="53" spans="2:17" x14ac:dyDescent="0.2">
      <c r="B53" s="117"/>
      <c r="C53" s="117"/>
      <c r="D53" s="117"/>
      <c r="E53" s="117"/>
      <c r="F53" s="117"/>
      <c r="G53" s="117"/>
      <c r="H53" s="117"/>
      <c r="I53" s="117"/>
      <c r="K53" s="93"/>
      <c r="L53" s="93"/>
      <c r="M53" s="487" t="s">
        <v>601</v>
      </c>
      <c r="N53" s="487"/>
      <c r="O53" s="487"/>
      <c r="P53" s="488"/>
      <c r="Q53" s="390"/>
    </row>
    <row r="54" spans="2:17" x14ac:dyDescent="0.2">
      <c r="B54" s="117"/>
      <c r="C54" s="117"/>
      <c r="D54" s="117"/>
      <c r="E54" s="117"/>
      <c r="F54" s="117"/>
      <c r="G54" s="117"/>
      <c r="H54" s="117"/>
      <c r="I54" s="117"/>
      <c r="K54" s="93"/>
      <c r="L54" s="93"/>
      <c r="M54" s="487" t="s">
        <v>596</v>
      </c>
      <c r="N54" s="487"/>
      <c r="O54" s="487"/>
      <c r="P54" s="488"/>
      <c r="Q54" s="390"/>
    </row>
    <row r="55" spans="2:17" x14ac:dyDescent="0.2">
      <c r="B55" s="117"/>
      <c r="C55" s="117"/>
      <c r="D55" s="117"/>
      <c r="E55" s="117"/>
      <c r="F55" s="117"/>
      <c r="G55" s="117"/>
      <c r="H55" s="117"/>
      <c r="I55" s="117"/>
      <c r="K55" s="93"/>
      <c r="L55" s="93"/>
      <c r="M55" s="487" t="s">
        <v>602</v>
      </c>
      <c r="N55" s="487"/>
      <c r="O55" s="487"/>
      <c r="P55" s="488"/>
      <c r="Q55" s="390"/>
    </row>
    <row r="56" spans="2:17" x14ac:dyDescent="0.2">
      <c r="B56" s="117"/>
      <c r="C56" s="117"/>
      <c r="D56" s="117"/>
      <c r="E56" s="117"/>
      <c r="F56" s="117"/>
      <c r="G56" s="117"/>
      <c r="H56" s="117"/>
      <c r="I56" s="117"/>
      <c r="K56" s="93"/>
      <c r="L56" s="93"/>
      <c r="M56" s="487"/>
      <c r="N56" s="487"/>
      <c r="O56" s="487"/>
      <c r="P56" s="488"/>
      <c r="Q56" s="390"/>
    </row>
    <row r="57" spans="2:17" x14ac:dyDescent="0.2">
      <c r="B57" s="117"/>
      <c r="C57" s="117"/>
      <c r="D57" s="117"/>
      <c r="E57" s="117"/>
      <c r="F57" s="117"/>
      <c r="G57" s="117"/>
      <c r="H57" s="117"/>
      <c r="I57" s="117"/>
      <c r="K57" s="93"/>
      <c r="L57" s="93"/>
      <c r="M57" s="240"/>
      <c r="N57" s="240"/>
      <c r="O57" s="240"/>
      <c r="P57" s="241"/>
      <c r="Q57" s="390"/>
    </row>
    <row r="58" spans="2:17" ht="13.5" customHeight="1" x14ac:dyDescent="0.2">
      <c r="B58" s="117"/>
      <c r="C58" s="117"/>
      <c r="D58" s="117"/>
      <c r="E58" s="117"/>
      <c r="F58" s="117"/>
      <c r="G58" s="117"/>
      <c r="H58" s="117"/>
      <c r="I58" s="117"/>
      <c r="K58" s="93"/>
      <c r="L58" s="93"/>
      <c r="M58" s="240"/>
      <c r="N58" s="240"/>
      <c r="O58" s="240"/>
      <c r="P58" s="241"/>
      <c r="Q58" s="390"/>
    </row>
    <row r="59" spans="2:17" hidden="1" x14ac:dyDescent="0.2">
      <c r="B59" s="117"/>
      <c r="C59" s="117"/>
      <c r="D59" s="117"/>
      <c r="E59" s="117"/>
      <c r="F59" s="117"/>
      <c r="G59" s="117"/>
      <c r="H59" s="117"/>
      <c r="I59" s="117"/>
      <c r="K59" s="93"/>
      <c r="L59" s="93"/>
      <c r="M59" s="240"/>
      <c r="N59" s="240"/>
      <c r="O59" s="240"/>
      <c r="P59" s="241"/>
      <c r="Q59" s="390"/>
    </row>
    <row r="60" spans="2:17" hidden="1" x14ac:dyDescent="0.2">
      <c r="B60" s="117"/>
      <c r="C60" s="117"/>
      <c r="D60" s="117"/>
      <c r="E60" s="117"/>
      <c r="F60" s="117"/>
      <c r="G60" s="117"/>
      <c r="H60" s="117"/>
      <c r="I60" s="117"/>
      <c r="K60" s="93"/>
      <c r="L60" s="93"/>
      <c r="M60" s="240"/>
      <c r="N60" s="240"/>
      <c r="O60" s="240"/>
      <c r="P60" s="241"/>
      <c r="Q60" s="390"/>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3"/>
      <c r="Q79" s="115"/>
    </row>
    <row r="80" spans="2:17" hidden="1" x14ac:dyDescent="0.2">
      <c r="B80" s="93"/>
      <c r="C80" s="93"/>
      <c r="D80" s="93"/>
      <c r="E80" s="93"/>
      <c r="F80" s="93"/>
      <c r="G80" s="93"/>
      <c r="H80" s="93"/>
      <c r="I80" s="93"/>
      <c r="K80" s="93"/>
      <c r="L80" s="93"/>
      <c r="M80" s="294"/>
      <c r="N80" s="93"/>
      <c r="O80" s="93"/>
      <c r="P80" s="403"/>
      <c r="Q80" s="115"/>
    </row>
    <row r="81" spans="2:17" hidden="1" x14ac:dyDescent="0.2">
      <c r="B81" s="93"/>
      <c r="C81" s="93"/>
      <c r="D81" s="93"/>
      <c r="E81" s="93"/>
      <c r="F81" s="93"/>
      <c r="G81" s="93"/>
      <c r="H81" s="93"/>
      <c r="I81" s="93"/>
      <c r="K81" s="93"/>
      <c r="L81" s="93"/>
      <c r="M81" s="294"/>
      <c r="N81" s="93"/>
      <c r="O81" s="93"/>
      <c r="P81" s="403"/>
      <c r="Q81" s="115"/>
    </row>
    <row r="82" spans="2:17" hidden="1" x14ac:dyDescent="0.2">
      <c r="B82" s="93"/>
      <c r="C82" s="93"/>
      <c r="D82" s="93"/>
      <c r="E82" s="93"/>
      <c r="F82" s="93"/>
      <c r="G82" s="93"/>
      <c r="H82" s="93"/>
      <c r="I82" s="93"/>
      <c r="K82" s="93"/>
      <c r="L82" s="93"/>
      <c r="M82" s="294"/>
      <c r="N82" s="93"/>
      <c r="O82" s="93"/>
      <c r="P82" s="403"/>
      <c r="Q82" s="115"/>
    </row>
    <row r="83" spans="2:17" hidden="1" x14ac:dyDescent="0.2">
      <c r="B83" s="93"/>
      <c r="C83" s="93"/>
      <c r="D83" s="93"/>
      <c r="E83" s="93"/>
      <c r="F83" s="93"/>
      <c r="G83" s="93"/>
      <c r="H83" s="93"/>
      <c r="I83" s="93"/>
      <c r="K83" s="93"/>
      <c r="L83" s="93"/>
      <c r="M83" s="294"/>
      <c r="N83" s="93"/>
      <c r="O83" s="93"/>
      <c r="P83" s="403"/>
      <c r="Q83" s="115"/>
    </row>
    <row r="84" spans="2:17" hidden="1" x14ac:dyDescent="0.2">
      <c r="B84" s="93"/>
      <c r="C84" s="93"/>
      <c r="D84" s="93"/>
      <c r="E84" s="93"/>
      <c r="F84" s="93"/>
      <c r="G84" s="93"/>
      <c r="H84" s="93"/>
      <c r="I84" s="93"/>
      <c r="K84" s="93"/>
      <c r="L84" s="93"/>
      <c r="M84" s="294"/>
      <c r="N84" s="93"/>
      <c r="O84" s="93"/>
      <c r="P84" s="403"/>
      <c r="Q84" s="115"/>
    </row>
    <row r="85" spans="2:17" hidden="1" x14ac:dyDescent="0.2">
      <c r="B85" s="93"/>
      <c r="C85" s="93"/>
      <c r="D85" s="93"/>
      <c r="E85" s="93"/>
      <c r="F85" s="93"/>
      <c r="G85" s="93"/>
      <c r="H85" s="93"/>
      <c r="I85" s="93"/>
      <c r="K85" s="93"/>
      <c r="L85" s="93"/>
      <c r="M85" s="294"/>
      <c r="N85" s="93"/>
      <c r="O85" s="93"/>
      <c r="P85" s="403"/>
      <c r="Q85" s="115"/>
    </row>
    <row r="86" spans="2:17" hidden="1" x14ac:dyDescent="0.2">
      <c r="B86" s="93"/>
      <c r="C86" s="93"/>
      <c r="D86" s="93"/>
      <c r="E86" s="93"/>
      <c r="F86" s="93"/>
      <c r="G86" s="93"/>
      <c r="H86" s="93"/>
      <c r="I86" s="93"/>
      <c r="K86" s="93"/>
      <c r="L86" s="93"/>
      <c r="M86" s="294"/>
      <c r="N86" s="93"/>
      <c r="O86" s="93"/>
      <c r="P86" s="403"/>
      <c r="Q86" s="115"/>
    </row>
    <row r="87" spans="2:17" hidden="1" x14ac:dyDescent="0.2">
      <c r="B87" s="93"/>
      <c r="C87" s="93"/>
      <c r="D87" s="93"/>
      <c r="E87" s="93"/>
      <c r="F87" s="93"/>
      <c r="G87" s="93"/>
      <c r="H87" s="93"/>
      <c r="I87" s="93"/>
      <c r="K87" s="93"/>
      <c r="L87" s="93"/>
      <c r="M87" s="294"/>
      <c r="N87" s="93"/>
      <c r="O87" s="93"/>
      <c r="P87" s="403"/>
      <c r="Q87" s="115"/>
    </row>
    <row r="88" spans="2:17" hidden="1" x14ac:dyDescent="0.2">
      <c r="B88" s="93"/>
      <c r="C88" s="93"/>
      <c r="D88" s="93"/>
      <c r="E88" s="93"/>
      <c r="F88" s="93"/>
      <c r="G88" s="93"/>
      <c r="H88" s="93"/>
      <c r="I88" s="93"/>
      <c r="K88" s="93"/>
      <c r="L88" s="93"/>
      <c r="M88" s="294"/>
      <c r="N88" s="93"/>
      <c r="O88" s="93"/>
      <c r="P88" s="403"/>
      <c r="Q88" s="115"/>
    </row>
    <row r="89" spans="2:17" hidden="1" x14ac:dyDescent="0.2">
      <c r="B89" s="93"/>
      <c r="C89" s="93"/>
      <c r="D89" s="93"/>
      <c r="E89" s="93"/>
      <c r="F89" s="93"/>
      <c r="G89" s="93"/>
      <c r="H89" s="93"/>
      <c r="I89" s="93"/>
      <c r="K89" s="93"/>
      <c r="L89" s="93"/>
      <c r="M89" s="294"/>
      <c r="N89" s="93"/>
      <c r="O89" s="93"/>
      <c r="P89" s="403"/>
      <c r="Q89" s="115"/>
    </row>
    <row r="90" spans="2:17" hidden="1" x14ac:dyDescent="0.2">
      <c r="B90" s="93"/>
      <c r="C90" s="93"/>
      <c r="D90" s="93"/>
      <c r="E90" s="93"/>
      <c r="F90" s="93"/>
      <c r="G90" s="93"/>
      <c r="H90" s="93"/>
      <c r="I90" s="93"/>
      <c r="K90" s="93"/>
      <c r="L90" s="93"/>
      <c r="M90" s="294"/>
      <c r="N90" s="93"/>
      <c r="O90" s="93"/>
      <c r="P90" s="403"/>
      <c r="Q90" s="115"/>
    </row>
    <row r="91" spans="2:17" hidden="1" x14ac:dyDescent="0.2">
      <c r="B91" s="93"/>
      <c r="C91" s="93"/>
      <c r="D91" s="93"/>
      <c r="E91" s="93"/>
      <c r="F91" s="93"/>
      <c r="G91" s="93"/>
      <c r="H91" s="93"/>
      <c r="I91" s="93"/>
      <c r="K91" s="93"/>
      <c r="L91" s="93"/>
      <c r="M91" s="294"/>
      <c r="N91" s="93"/>
      <c r="O91" s="93"/>
      <c r="P91" s="403"/>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15:O15"/>
    <mergeCell ref="E10:I10"/>
    <mergeCell ref="E11:I11"/>
    <mergeCell ref="E12:I12"/>
    <mergeCell ref="E13:I13"/>
    <mergeCell ref="E14:I14"/>
    <mergeCell ref="B10:D10"/>
    <mergeCell ref="B11:D11"/>
    <mergeCell ref="B12:D12"/>
    <mergeCell ref="B13:D13"/>
    <mergeCell ref="B14:D14"/>
    <mergeCell ref="K3:L3"/>
    <mergeCell ref="K4:L4"/>
    <mergeCell ref="B2:I2"/>
    <mergeCell ref="E9:I9"/>
    <mergeCell ref="B9:D9"/>
    <mergeCell ref="B4:I7"/>
    <mergeCell ref="B32:I33"/>
    <mergeCell ref="B17:I19"/>
    <mergeCell ref="B21:I22"/>
    <mergeCell ref="B29:I30"/>
    <mergeCell ref="B15:D15"/>
    <mergeCell ref="E15:I15"/>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39" t="s">
        <v>253</v>
      </c>
      <c r="B1" s="640"/>
      <c r="C1" s="458" t="s">
        <v>57</v>
      </c>
      <c r="D1" s="45" t="s">
        <v>559</v>
      </c>
      <c r="E1" s="458" t="s">
        <v>254</v>
      </c>
      <c r="F1" s="41" t="s">
        <v>255</v>
      </c>
      <c r="G1" s="33" t="s">
        <v>256</v>
      </c>
      <c r="H1" s="33" t="s">
        <v>257</v>
      </c>
      <c r="I1" s="41" t="s">
        <v>258</v>
      </c>
      <c r="J1" s="45" t="s">
        <v>123</v>
      </c>
      <c r="K1" s="39" t="s">
        <v>259</v>
      </c>
      <c r="L1" s="45" t="s">
        <v>260</v>
      </c>
      <c r="M1" s="45" t="s">
        <v>261</v>
      </c>
      <c r="N1" s="45" t="s">
        <v>262</v>
      </c>
      <c r="P1" s="45" t="s">
        <v>263</v>
      </c>
      <c r="R1" t="s">
        <v>264</v>
      </c>
      <c r="AF1" t="s">
        <v>265</v>
      </c>
    </row>
    <row r="2" spans="1:44" ht="15.75" thickBot="1" x14ac:dyDescent="0.3">
      <c r="A2" s="27" t="s">
        <v>89</v>
      </c>
      <c r="B2" s="456" t="b">
        <v>0</v>
      </c>
      <c r="C2" s="38" t="s">
        <v>536</v>
      </c>
      <c r="D2" s="38" t="s">
        <v>180</v>
      </c>
      <c r="E2" s="38" t="s">
        <v>266</v>
      </c>
      <c r="F2" s="28" t="s">
        <v>267</v>
      </c>
      <c r="G2" t="s">
        <v>384</v>
      </c>
      <c r="H2" t="s">
        <v>383</v>
      </c>
      <c r="I2">
        <v>2022</v>
      </c>
      <c r="J2" s="38" t="s">
        <v>543</v>
      </c>
      <c r="K2" s="27" t="s">
        <v>236</v>
      </c>
      <c r="L2" s="35" t="s">
        <v>268</v>
      </c>
      <c r="M2" s="38" t="s">
        <v>269</v>
      </c>
      <c r="N2" s="34" t="s">
        <v>270</v>
      </c>
      <c r="P2" s="38">
        <v>2015</v>
      </c>
      <c r="R2" s="459" t="s">
        <v>271</v>
      </c>
      <c r="S2" s="641"/>
      <c r="T2" s="641"/>
      <c r="U2" s="641"/>
      <c r="V2" s="641"/>
      <c r="W2" s="641"/>
      <c r="X2" s="33"/>
      <c r="Y2" s="642" t="s">
        <v>7</v>
      </c>
      <c r="Z2" s="642"/>
      <c r="AA2" s="642"/>
      <c r="AB2" s="642"/>
      <c r="AC2" s="460"/>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272</v>
      </c>
      <c r="B3" s="456" t="b">
        <v>0</v>
      </c>
      <c r="C3" s="38" t="s">
        <v>524</v>
      </c>
      <c r="D3" s="38" t="s">
        <v>273</v>
      </c>
      <c r="E3" s="38" t="s">
        <v>274</v>
      </c>
      <c r="F3" s="30" t="s">
        <v>238</v>
      </c>
      <c r="G3" s="40" t="s">
        <v>560</v>
      </c>
      <c r="H3" s="42" t="s">
        <v>561</v>
      </c>
      <c r="I3" s="30">
        <v>2021</v>
      </c>
      <c r="J3" s="38" t="s">
        <v>544</v>
      </c>
      <c r="K3" s="29" t="s">
        <v>275</v>
      </c>
      <c r="L3" s="35" t="s">
        <v>276</v>
      </c>
      <c r="M3" s="38" t="s">
        <v>277</v>
      </c>
      <c r="P3" s="38">
        <v>2016</v>
      </c>
      <c r="R3" s="48"/>
      <c r="S3" s="49">
        <v>2015</v>
      </c>
      <c r="T3" s="49">
        <v>2016</v>
      </c>
      <c r="U3" s="49">
        <v>2017</v>
      </c>
      <c r="V3" s="49">
        <v>2018</v>
      </c>
      <c r="W3" s="50">
        <v>2019</v>
      </c>
      <c r="X3" s="50">
        <v>2020</v>
      </c>
      <c r="Y3" s="51">
        <v>2021</v>
      </c>
      <c r="Z3" s="52">
        <v>2022</v>
      </c>
      <c r="AA3" s="53">
        <v>2023</v>
      </c>
      <c r="AB3" s="53">
        <v>2024</v>
      </c>
      <c r="AC3" s="53">
        <v>2025</v>
      </c>
      <c r="AD3" s="461">
        <v>2026</v>
      </c>
      <c r="AE3" s="211"/>
      <c r="AF3" t="s">
        <v>278</v>
      </c>
      <c r="AG3" s="23">
        <f>'3. NON-LABOR INCOME'!K$8</f>
        <v>7.4667044488524015</v>
      </c>
      <c r="AH3" s="23">
        <f>'3. NON-LABOR INCOME'!L$8</f>
        <v>-2.9861568885959366</v>
      </c>
      <c r="AI3" s="23">
        <f>'3. NON-LABOR INCOME'!M$8</f>
        <v>-13.236393286675208</v>
      </c>
      <c r="AJ3" s="23">
        <f>'3. NON-LABOR INCOME'!N$8</f>
        <v>17.331036103062146</v>
      </c>
      <c r="AK3" s="23">
        <f>'3. NON-LABOR INCOME'!O$8</f>
        <v>9.5981844880523184</v>
      </c>
      <c r="AL3" s="23">
        <f>'3. NON-LABOR INCOME'!P$8</f>
        <v>10.870894214372617</v>
      </c>
      <c r="AM3" s="23">
        <f>'3. NON-LABOR INCOME'!Q$8</f>
        <v>36.103866357253047</v>
      </c>
      <c r="AN3" s="23">
        <f>'3. NON-LABOR INCOME'!R$8</f>
        <v>-15.118548082127003</v>
      </c>
      <c r="AO3" s="23">
        <f>'3. NON-LABOR INCOME'!S$8</f>
        <v>2.7532275120198957</v>
      </c>
    </row>
    <row r="4" spans="1:44" x14ac:dyDescent="0.25">
      <c r="A4" s="27" t="s">
        <v>279</v>
      </c>
      <c r="B4" s="456" t="b">
        <v>1</v>
      </c>
      <c r="C4" s="38" t="s">
        <v>525</v>
      </c>
      <c r="D4" s="38" t="s">
        <v>280</v>
      </c>
      <c r="E4" s="38" t="s">
        <v>281</v>
      </c>
      <c r="J4" s="38" t="s">
        <v>545</v>
      </c>
      <c r="L4" s="35" t="s">
        <v>282</v>
      </c>
      <c r="M4" s="38"/>
      <c r="P4" s="38">
        <v>2017</v>
      </c>
      <c r="R4" s="54" t="s">
        <v>471</v>
      </c>
      <c r="S4" s="55" t="e">
        <f>'GROWTH RATES'!P$12</f>
        <v>#N/A</v>
      </c>
      <c r="T4" s="55" t="e">
        <f>'GROWTH RATES'!Q$12</f>
        <v>#N/A</v>
      </c>
      <c r="U4" s="55" t="e">
        <f>'GROWTH RATES'!R$12</f>
        <v>#N/A</v>
      </c>
      <c r="V4" s="55" t="e">
        <f>'GROWTH RATES'!S$12</f>
        <v>#N/A</v>
      </c>
      <c r="W4" s="55" t="e">
        <f>'GROWTH RATES'!T$12</f>
        <v>#N/A</v>
      </c>
      <c r="X4" s="55" t="e">
        <f>'GROWTH RATES'!U$12</f>
        <v>#N/A</v>
      </c>
      <c r="Y4" s="55" t="e">
        <f>'GROWTH RATES'!V$12</f>
        <v>#N/A</v>
      </c>
      <c r="Z4" s="55" t="e">
        <f>'GROWTH RATES'!W$12</f>
        <v>#N/A</v>
      </c>
      <c r="AA4" s="55">
        <f>'GROWTH RATES'!X$12</f>
        <v>-2.5285794155077479</v>
      </c>
      <c r="AB4" s="55"/>
      <c r="AC4" s="55"/>
      <c r="AD4" s="55"/>
      <c r="AE4" s="212"/>
      <c r="AF4" t="s">
        <v>284</v>
      </c>
      <c r="AL4" s="23"/>
      <c r="AM4" s="23"/>
      <c r="AN4" s="23"/>
      <c r="AO4" s="23">
        <f>'3. NON-LABOR INCOME'!S$8</f>
        <v>2.7532275120198957</v>
      </c>
      <c r="AP4" s="23">
        <f>'3. NON-LABOR INCOME'!T$8</f>
        <v>3.4975574633526962</v>
      </c>
      <c r="AQ4" s="23">
        <f>'3. NON-LABOR INCOME'!U$8</f>
        <v>7.4999999999999956</v>
      </c>
      <c r="AR4" s="23">
        <f>'3. NON-LABOR INCOME'!V$8</f>
        <v>4.2999999999999927</v>
      </c>
    </row>
    <row r="5" spans="1:44" ht="15.75" thickBot="1" x14ac:dyDescent="0.3">
      <c r="A5" s="27" t="s">
        <v>285</v>
      </c>
      <c r="B5" s="456" t="b">
        <v>0</v>
      </c>
      <c r="C5" s="38" t="s">
        <v>526</v>
      </c>
      <c r="D5" s="38" t="s">
        <v>181</v>
      </c>
      <c r="E5" s="38" t="s">
        <v>286</v>
      </c>
      <c r="J5" s="38" t="s">
        <v>546</v>
      </c>
      <c r="L5" s="35" t="s">
        <v>287</v>
      </c>
      <c r="M5" s="38"/>
      <c r="P5" s="38">
        <v>2018</v>
      </c>
      <c r="R5" s="54" t="s">
        <v>473</v>
      </c>
      <c r="S5" s="55"/>
      <c r="T5" s="55"/>
      <c r="U5" s="55"/>
      <c r="V5" s="55"/>
      <c r="W5" s="55"/>
      <c r="X5" s="55"/>
      <c r="Y5" s="55"/>
      <c r="Z5" s="55"/>
      <c r="AA5" s="55">
        <f>'GROWTH RATES'!X$12</f>
        <v>-2.5285794155077479</v>
      </c>
      <c r="AB5" s="55">
        <f>'GROWTH RATES'!Y$12</f>
        <v>1.7123734593391373</v>
      </c>
      <c r="AC5" s="55">
        <f>'GROWTH RATES'!Z$12</f>
        <v>1.337830637561211</v>
      </c>
      <c r="AD5" s="55">
        <f>'GROWTH RATES'!AA$12</f>
        <v>0.96000000000000085</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289</v>
      </c>
      <c r="B6" s="456" t="b">
        <v>0</v>
      </c>
      <c r="C6" s="38" t="s">
        <v>527</v>
      </c>
      <c r="D6" s="38" t="s">
        <v>290</v>
      </c>
      <c r="E6" s="38" t="s">
        <v>291</v>
      </c>
      <c r="J6" s="38" t="s">
        <v>547</v>
      </c>
      <c r="L6" s="35" t="s">
        <v>292</v>
      </c>
      <c r="M6" s="38" t="s">
        <v>283</v>
      </c>
      <c r="P6" s="38">
        <v>2019</v>
      </c>
      <c r="R6" s="54" t="s">
        <v>474</v>
      </c>
      <c r="S6" s="55" t="e">
        <f>'GROWTH RATES'!P$13</f>
        <v>#N/A</v>
      </c>
      <c r="T6" s="55" t="e">
        <f>'GROWTH RATES'!Q$13</f>
        <v>#N/A</v>
      </c>
      <c r="U6" s="55" t="e">
        <f>'GROWTH RATES'!R$13</f>
        <v>#N/A</v>
      </c>
      <c r="V6" s="55" t="e">
        <f>'GROWTH RATES'!S$13</f>
        <v>#N/A</v>
      </c>
      <c r="W6" s="55" t="e">
        <f>'GROWTH RATES'!T$13</f>
        <v>#N/A</v>
      </c>
      <c r="X6" s="55" t="e">
        <f>'GROWTH RATES'!U$13</f>
        <v>#N/A</v>
      </c>
      <c r="Y6" s="55" t="e">
        <f>'GROWTH RATES'!V$13</f>
        <v>#N/A</v>
      </c>
      <c r="Z6" s="55" t="e">
        <f>'GROWTH RATES'!W$13</f>
        <v>#N/A</v>
      </c>
      <c r="AA6" s="55">
        <f>'GROWTH RATES'!X$13</f>
        <v>-2.5285794155077479</v>
      </c>
      <c r="AB6" s="55"/>
      <c r="AC6" s="55"/>
      <c r="AD6" s="55"/>
      <c r="AE6" s="212"/>
      <c r="AF6" t="s">
        <v>294</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295</v>
      </c>
      <c r="B7" s="456" t="b">
        <v>1</v>
      </c>
      <c r="C7" s="38" t="s">
        <v>528</v>
      </c>
      <c r="D7" s="38" t="s">
        <v>496</v>
      </c>
      <c r="E7" s="38" t="s">
        <v>296</v>
      </c>
      <c r="J7" s="38" t="s">
        <v>548</v>
      </c>
      <c r="L7" s="35"/>
      <c r="M7" s="38" t="s">
        <v>288</v>
      </c>
      <c r="P7" s="38">
        <v>2020</v>
      </c>
      <c r="R7" s="54" t="s">
        <v>472</v>
      </c>
      <c r="S7" s="55"/>
      <c r="T7" s="55"/>
      <c r="U7" s="55"/>
      <c r="V7" s="55"/>
      <c r="W7" s="55"/>
      <c r="X7" s="55"/>
      <c r="Y7" s="55"/>
      <c r="Z7" s="55"/>
      <c r="AA7" s="55">
        <f>'GROWTH RATES'!X$13</f>
        <v>-2.5285794155077479</v>
      </c>
      <c r="AB7" s="55">
        <f>'GROWTH RATES'!Y$13</f>
        <v>1.5025719225406606</v>
      </c>
      <c r="AC7" s="55">
        <f>'GROWTH RATES'!Z$13</f>
        <v>1.1739184242495475</v>
      </c>
      <c r="AD7" s="55">
        <f>'GROWTH RATES'!AA$13</f>
        <v>0.80000000000000071</v>
      </c>
      <c r="AE7" s="212"/>
      <c r="AF7" t="s">
        <v>299</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ht="15.75" thickBot="1" x14ac:dyDescent="0.3">
      <c r="A8" s="27" t="s">
        <v>300</v>
      </c>
      <c r="B8" s="456" t="b">
        <v>0</v>
      </c>
      <c r="C8" s="38" t="s">
        <v>529</v>
      </c>
      <c r="D8" s="34" t="s">
        <v>301</v>
      </c>
      <c r="E8" s="34" t="s">
        <v>302</v>
      </c>
      <c r="J8" s="34" t="s">
        <v>122</v>
      </c>
      <c r="L8" s="35"/>
      <c r="M8" s="38"/>
      <c r="P8" s="38">
        <v>2021</v>
      </c>
      <c r="R8" s="54" t="s">
        <v>475</v>
      </c>
      <c r="S8" s="55" t="e">
        <f>'GROWTH RATES'!P$14</f>
        <v>#N/A</v>
      </c>
      <c r="T8" s="55" t="e">
        <f>'GROWTH RATES'!Q$14</f>
        <v>#N/A</v>
      </c>
      <c r="U8" s="55" t="e">
        <f>'GROWTH RATES'!R$14</f>
        <v>#N/A</v>
      </c>
      <c r="V8" s="55" t="e">
        <f>'GROWTH RATES'!S$14</f>
        <v>#N/A</v>
      </c>
      <c r="W8" s="55" t="e">
        <f>'GROWTH RATES'!T$14</f>
        <v>#N/A</v>
      </c>
      <c r="X8" s="55" t="e">
        <f>'GROWTH RATES'!U$14</f>
        <v>#N/A</v>
      </c>
      <c r="Y8" s="55" t="e">
        <f>'GROWTH RATES'!V$14</f>
        <v>#N/A</v>
      </c>
      <c r="Z8" s="55" t="e">
        <f>'GROWTH RATES'!W$14</f>
        <v>#N/A</v>
      </c>
      <c r="AA8" s="55">
        <f>'GROWTH RATES'!X$14</f>
        <v>0.20943869164433096</v>
      </c>
      <c r="AB8" s="55"/>
      <c r="AC8" s="55"/>
      <c r="AD8" s="55"/>
      <c r="AE8" s="212"/>
    </row>
    <row r="9" spans="1:44" x14ac:dyDescent="0.25">
      <c r="A9" s="27" t="s">
        <v>305</v>
      </c>
      <c r="B9" s="456" t="b">
        <v>0</v>
      </c>
      <c r="C9" s="38" t="s">
        <v>530</v>
      </c>
      <c r="L9" s="35" t="s">
        <v>297</v>
      </c>
      <c r="M9" s="38"/>
      <c r="P9" s="38">
        <v>2022</v>
      </c>
      <c r="R9" s="54" t="s">
        <v>476</v>
      </c>
      <c r="S9" s="55"/>
      <c r="T9" s="55"/>
      <c r="U9" s="55"/>
      <c r="V9" s="55"/>
      <c r="W9" s="55"/>
      <c r="X9" s="55"/>
      <c r="Y9" s="55"/>
      <c r="Z9" s="55"/>
      <c r="AA9" s="55">
        <f>'GROWTH RATES'!X$14</f>
        <v>0.20943869164433096</v>
      </c>
      <c r="AB9" s="55">
        <f>'GROWTH RATES'!Y$14</f>
        <v>0.703978911525863</v>
      </c>
      <c r="AC9" s="55">
        <f>'GROWTH RATES'!Z$14</f>
        <v>2.2745939261390902</v>
      </c>
      <c r="AD9" s="55">
        <f>'GROWTH RATES'!AA$14</f>
        <v>2.2868479548081999</v>
      </c>
      <c r="AE9" s="212"/>
    </row>
    <row r="10" spans="1:44" x14ac:dyDescent="0.25">
      <c r="A10" s="27" t="s">
        <v>308</v>
      </c>
      <c r="B10" s="456" t="b">
        <v>0</v>
      </c>
      <c r="C10" s="38" t="s">
        <v>531</v>
      </c>
      <c r="L10" s="35" t="s">
        <v>303</v>
      </c>
      <c r="M10" s="38"/>
      <c r="P10" s="38">
        <v>2023</v>
      </c>
      <c r="R10" s="54" t="s">
        <v>477</v>
      </c>
      <c r="S10" s="55" t="e">
        <f>'GROWTH RATES'!P$15</f>
        <v>#N/A</v>
      </c>
      <c r="T10" s="55" t="e">
        <f>'GROWTH RATES'!Q$15</f>
        <v>#N/A</v>
      </c>
      <c r="U10" s="55" t="e">
        <f>'GROWTH RATES'!R$15</f>
        <v>#N/A</v>
      </c>
      <c r="V10" s="55" t="e">
        <f>'GROWTH RATES'!S$15</f>
        <v>#N/A</v>
      </c>
      <c r="W10" s="55" t="e">
        <f>'GROWTH RATES'!T$15</f>
        <v>#N/A</v>
      </c>
      <c r="X10" s="55" t="e">
        <f>'GROWTH RATES'!U$15</f>
        <v>#N/A</v>
      </c>
      <c r="Y10" s="55" t="e">
        <f>'GROWTH RATES'!V$15</f>
        <v>#N/A</v>
      </c>
      <c r="Z10" s="55" t="e">
        <f>'GROWTH RATES'!W$15</f>
        <v>#N/A</v>
      </c>
      <c r="AA10" s="55">
        <f>'GROWTH RATES'!X$15</f>
        <v>2.7925158885910895</v>
      </c>
      <c r="AB10" s="55"/>
      <c r="AC10" s="55"/>
      <c r="AD10" s="55"/>
      <c r="AE10" s="212"/>
    </row>
    <row r="11" spans="1:44" x14ac:dyDescent="0.25">
      <c r="A11" s="27" t="s">
        <v>311</v>
      </c>
      <c r="B11" s="456" t="b">
        <v>0</v>
      </c>
      <c r="C11" s="38" t="s">
        <v>532</v>
      </c>
      <c r="L11" s="35"/>
      <c r="M11" s="38"/>
      <c r="P11" s="38">
        <v>2024</v>
      </c>
      <c r="R11" s="54" t="s">
        <v>478</v>
      </c>
      <c r="S11" s="55"/>
      <c r="T11" s="55"/>
      <c r="U11" s="55"/>
      <c r="V11" s="55"/>
      <c r="W11" s="55"/>
      <c r="X11" s="55"/>
      <c r="Y11" s="55"/>
      <c r="Z11" s="55"/>
      <c r="AA11" s="55">
        <f>'GROWTH RATES'!X$15</f>
        <v>2.7925158885910895</v>
      </c>
      <c r="AB11" s="55">
        <f>'GROWTH RATES'!Y$15</f>
        <v>1.0158944887785499</v>
      </c>
      <c r="AC11" s="55">
        <f>'GROWTH RATES'!Z$15</f>
        <v>3.2824100210123701</v>
      </c>
      <c r="AD11" s="55">
        <f>'GROWTH RATES'!AA$15</f>
        <v>2.2868479548081999</v>
      </c>
      <c r="AE11" s="212"/>
    </row>
    <row r="12" spans="1:44" x14ac:dyDescent="0.25">
      <c r="A12" s="27" t="s">
        <v>312</v>
      </c>
      <c r="B12" s="456" t="b">
        <v>0</v>
      </c>
      <c r="C12" s="38" t="s">
        <v>533</v>
      </c>
      <c r="L12" s="35"/>
      <c r="M12" s="38" t="s">
        <v>293</v>
      </c>
      <c r="P12" s="38">
        <v>2025</v>
      </c>
      <c r="R12" s="54" t="s">
        <v>487</v>
      </c>
      <c r="S12" s="55" t="e">
        <f>'GROWTH RATES'!P$16</f>
        <v>#N/A</v>
      </c>
      <c r="T12" s="55" t="e">
        <f>'GROWTH RATES'!Q$16</f>
        <v>#N/A</v>
      </c>
      <c r="U12" s="55" t="e">
        <f>'GROWTH RATES'!R$16</f>
        <v>#N/A</v>
      </c>
      <c r="V12" s="55" t="e">
        <f>'GROWTH RATES'!S$16</f>
        <v>#N/A</v>
      </c>
      <c r="W12" s="55" t="e">
        <f>'GROWTH RATES'!T$16</f>
        <v>#N/A</v>
      </c>
      <c r="X12" s="55" t="e">
        <f>'GROWTH RATES'!U$16</f>
        <v>#N/A</v>
      </c>
      <c r="Y12" s="55" t="e">
        <f>'GROWTH RATES'!V$16</f>
        <v>#N/A</v>
      </c>
      <c r="Z12" s="55" t="e">
        <f>'GROWTH RATES'!W$16</f>
        <v>#N/A</v>
      </c>
      <c r="AA12" s="55">
        <f>'GROWTH RATES'!X$16</f>
        <v>2.47807069372849</v>
      </c>
      <c r="AB12" s="55"/>
      <c r="AC12" s="55"/>
      <c r="AD12" s="55"/>
      <c r="AE12" s="212"/>
    </row>
    <row r="13" spans="1:44" ht="15.75" thickBot="1" x14ac:dyDescent="0.3">
      <c r="A13" s="27" t="s">
        <v>313</v>
      </c>
      <c r="B13" s="456" t="b">
        <v>0</v>
      </c>
      <c r="C13" s="38" t="s">
        <v>534</v>
      </c>
      <c r="L13" s="35"/>
      <c r="M13" s="38" t="s">
        <v>298</v>
      </c>
      <c r="P13" s="34">
        <v>2026</v>
      </c>
      <c r="R13" s="54" t="s">
        <v>488</v>
      </c>
      <c r="S13" s="55"/>
      <c r="T13" s="55"/>
      <c r="U13" s="55"/>
      <c r="V13" s="55"/>
      <c r="W13" s="55"/>
      <c r="X13" s="55"/>
      <c r="Y13" s="55"/>
      <c r="Z13" s="55"/>
      <c r="AA13" s="55">
        <f>'GROWTH RATES'!X$16</f>
        <v>2.47807069372849</v>
      </c>
      <c r="AB13" s="55">
        <f>'GROWTH RATES'!Y$16</f>
        <v>2.6264455997445202</v>
      </c>
      <c r="AC13" s="55">
        <f>'GROWTH RATES'!Z$16</f>
        <v>1.8000212152136601</v>
      </c>
      <c r="AD13" s="55">
        <f>'GROWTH RATES'!AA$16</f>
        <v>0.90703648471827703</v>
      </c>
      <c r="AE13" s="212"/>
    </row>
    <row r="14" spans="1:44" x14ac:dyDescent="0.25">
      <c r="A14" s="27" t="s">
        <v>314</v>
      </c>
      <c r="B14" s="456" t="b">
        <v>0</v>
      </c>
      <c r="C14" s="38" t="s">
        <v>535</v>
      </c>
      <c r="L14" s="35"/>
      <c r="M14" s="38" t="s">
        <v>304</v>
      </c>
      <c r="R14" s="54" t="s">
        <v>489</v>
      </c>
      <c r="S14" s="55" t="e">
        <f>'GROWTH RATES'!P$17</f>
        <v>#N/A</v>
      </c>
      <c r="T14" s="55" t="e">
        <f>'GROWTH RATES'!Q$17</f>
        <v>#N/A</v>
      </c>
      <c r="U14" s="55" t="e">
        <f>'GROWTH RATES'!R$17</f>
        <v>#N/A</v>
      </c>
      <c r="V14" s="55" t="e">
        <f>'GROWTH RATES'!S$17</f>
        <v>#N/A</v>
      </c>
      <c r="W14" s="55" t="e">
        <f>'GROWTH RATES'!T$17</f>
        <v>#N/A</v>
      </c>
      <c r="X14" s="55" t="e">
        <f>'GROWTH RATES'!U$17</f>
        <v>#N/A</v>
      </c>
      <c r="Y14" s="55" t="e">
        <f>'GROWTH RATES'!V$17</f>
        <v>#N/A</v>
      </c>
      <c r="Z14" s="55" t="e">
        <f>'GROWTH RATES'!W$17</f>
        <v>#N/A</v>
      </c>
      <c r="AA14" s="55">
        <f>'GROWTH RATES'!X$17</f>
        <v>1.1505328220882303</v>
      </c>
      <c r="AB14" s="55"/>
      <c r="AC14" s="55"/>
      <c r="AD14" s="55"/>
      <c r="AE14" s="212"/>
    </row>
    <row r="15" spans="1:44" x14ac:dyDescent="0.25">
      <c r="A15" s="27" t="s">
        <v>315</v>
      </c>
      <c r="B15" s="456" t="b">
        <v>0</v>
      </c>
      <c r="C15" s="38" t="s">
        <v>420</v>
      </c>
      <c r="L15" s="35" t="s">
        <v>306</v>
      </c>
      <c r="M15" s="38" t="s">
        <v>307</v>
      </c>
      <c r="R15" s="54" t="s">
        <v>490</v>
      </c>
      <c r="S15" s="55"/>
      <c r="T15" s="55"/>
      <c r="U15" s="55"/>
      <c r="V15" s="55"/>
      <c r="W15" s="55"/>
      <c r="X15" s="55"/>
      <c r="Y15" s="55"/>
      <c r="Z15" s="55"/>
      <c r="AA15" s="55">
        <f>'GROWTH RATES'!X$17</f>
        <v>1.1505328220882303</v>
      </c>
      <c r="AB15" s="55">
        <f>'GROWTH RATES'!Y$17</f>
        <v>2.4840825684808898</v>
      </c>
      <c r="AC15" s="55">
        <f>'GROWTH RATES'!Z$17</f>
        <v>1.7024534313762301</v>
      </c>
      <c r="AD15" s="55">
        <f>'GROWTH RATES'!AA$17</f>
        <v>0.78609828675584004</v>
      </c>
      <c r="AE15" s="212"/>
    </row>
    <row r="16" spans="1:44" ht="15.75" thickBot="1" x14ac:dyDescent="0.3">
      <c r="A16" s="29" t="s">
        <v>316</v>
      </c>
      <c r="B16" s="457" t="b">
        <v>0</v>
      </c>
      <c r="C16" s="38" t="s">
        <v>421</v>
      </c>
      <c r="L16" s="36" t="s">
        <v>309</v>
      </c>
      <c r="M16" s="34" t="s">
        <v>310</v>
      </c>
      <c r="R16" s="54" t="s">
        <v>479</v>
      </c>
      <c r="S16" s="55">
        <f>'GROWTH RATES'!P$18</f>
        <v>0</v>
      </c>
      <c r="T16" s="55">
        <f>'GROWTH RATES'!Q$18</f>
        <v>0</v>
      </c>
      <c r="U16" s="55">
        <f>'GROWTH RATES'!R$18</f>
        <v>0</v>
      </c>
      <c r="V16" s="55">
        <f>'GROWTH RATES'!S$18</f>
        <v>0</v>
      </c>
      <c r="W16" s="55">
        <f>'GROWTH RATES'!T$18</f>
        <v>0</v>
      </c>
      <c r="X16" s="55">
        <f>'GROWTH RATES'!U$18</f>
        <v>0</v>
      </c>
      <c r="Y16" s="55">
        <f>'GROWTH RATES'!V$18</f>
        <v>0</v>
      </c>
      <c r="Z16" s="55">
        <f>'GROWTH RATES'!W$18</f>
        <v>0</v>
      </c>
      <c r="AA16" s="55">
        <f>'GROWTH RATES'!X$18</f>
        <v>0</v>
      </c>
      <c r="AB16" s="55"/>
      <c r="AC16" s="55"/>
      <c r="AD16" s="55"/>
    </row>
    <row r="17" spans="3:31" x14ac:dyDescent="0.25">
      <c r="C17" s="38" t="s">
        <v>422</v>
      </c>
      <c r="R17" s="54" t="s">
        <v>480</v>
      </c>
      <c r="S17" s="55"/>
      <c r="T17" s="55"/>
      <c r="U17" s="55"/>
      <c r="V17" s="55"/>
      <c r="W17" s="55"/>
      <c r="X17" s="55"/>
      <c r="Y17" s="55"/>
      <c r="Z17" s="55"/>
      <c r="AA17" s="55">
        <f>'GROWTH RATES'!X$18</f>
        <v>0</v>
      </c>
      <c r="AB17" s="55">
        <f>'GROWTH RATES'!Y$18</f>
        <v>0</v>
      </c>
      <c r="AC17" s="55">
        <f>'GROWTH RATES'!Z$18</f>
        <v>0</v>
      </c>
      <c r="AD17" s="55">
        <f>'GROWTH RATES'!AA$18</f>
        <v>0</v>
      </c>
      <c r="AE17" s="211"/>
    </row>
    <row r="18" spans="3:31" x14ac:dyDescent="0.25">
      <c r="C18" s="38" t="s">
        <v>423</v>
      </c>
      <c r="R18" s="54" t="s">
        <v>481</v>
      </c>
      <c r="S18" s="55">
        <f>'GROWTH RATES'!P$19</f>
        <v>0</v>
      </c>
      <c r="T18" s="55">
        <f>'GROWTH RATES'!Q$19</f>
        <v>0</v>
      </c>
      <c r="U18" s="55">
        <f>'GROWTH RATES'!R$19</f>
        <v>0</v>
      </c>
      <c r="V18" s="55">
        <f>'GROWTH RATES'!S$19</f>
        <v>0</v>
      </c>
      <c r="W18" s="55">
        <f>'GROWTH RATES'!T$19</f>
        <v>0</v>
      </c>
      <c r="X18" s="55">
        <f>'GROWTH RATES'!U$19</f>
        <v>0</v>
      </c>
      <c r="Y18" s="55">
        <f>'GROWTH RATES'!V$19</f>
        <v>0</v>
      </c>
      <c r="Z18" s="55">
        <f>'GROWTH RATES'!W$19</f>
        <v>0</v>
      </c>
      <c r="AA18" s="55">
        <f>'GROWTH RATES'!X$19</f>
        <v>0</v>
      </c>
      <c r="AB18" s="55"/>
      <c r="AC18" s="55"/>
      <c r="AD18" s="55"/>
      <c r="AE18" s="23"/>
    </row>
    <row r="19" spans="3:31" x14ac:dyDescent="0.25">
      <c r="C19" s="38" t="s">
        <v>424</v>
      </c>
      <c r="R19" s="54" t="s">
        <v>482</v>
      </c>
      <c r="S19" s="55"/>
      <c r="T19" s="55"/>
      <c r="U19" s="55"/>
      <c r="V19" s="55"/>
      <c r="W19" s="55"/>
      <c r="X19" s="55"/>
      <c r="Y19" s="55"/>
      <c r="Z19" s="55"/>
      <c r="AA19" s="55">
        <f>'GROWTH RATES'!X$19</f>
        <v>0</v>
      </c>
      <c r="AB19" s="55">
        <f>'GROWTH RATES'!Y$19</f>
        <v>0</v>
      </c>
      <c r="AC19" s="55">
        <f>'GROWTH RATES'!Z$19</f>
        <v>0</v>
      </c>
      <c r="AD19" s="55">
        <f>'GROWTH RATES'!AA$19</f>
        <v>0</v>
      </c>
      <c r="AE19" s="23"/>
    </row>
    <row r="20" spans="3:31" x14ac:dyDescent="0.25">
      <c r="C20" s="38" t="s">
        <v>425</v>
      </c>
      <c r="R20" s="54" t="s">
        <v>483</v>
      </c>
      <c r="S20" s="55">
        <f>'GROWTH RATES'!P$20</f>
        <v>0</v>
      </c>
      <c r="T20" s="55">
        <f>'GROWTH RATES'!Q$20</f>
        <v>0</v>
      </c>
      <c r="U20" s="55">
        <f>'GROWTH RATES'!R$20</f>
        <v>0</v>
      </c>
      <c r="V20" s="55">
        <f>'GROWTH RATES'!S$20</f>
        <v>0</v>
      </c>
      <c r="W20" s="55">
        <f>'GROWTH RATES'!T$20</f>
        <v>0</v>
      </c>
      <c r="X20" s="55">
        <f>'GROWTH RATES'!U$20</f>
        <v>0</v>
      </c>
      <c r="Y20" s="55">
        <f>'GROWTH RATES'!V$20</f>
        <v>0</v>
      </c>
      <c r="Z20" s="55">
        <f>'GROWTH RATES'!W$20</f>
        <v>0</v>
      </c>
      <c r="AA20" s="55">
        <f>'GROWTH RATES'!X$20</f>
        <v>0</v>
      </c>
      <c r="AB20" s="55"/>
      <c r="AC20" s="55"/>
      <c r="AD20" s="55"/>
      <c r="AE20" s="23"/>
    </row>
    <row r="21" spans="3:31" x14ac:dyDescent="0.25">
      <c r="C21" s="38" t="s">
        <v>426</v>
      </c>
      <c r="R21" s="54" t="s">
        <v>484</v>
      </c>
      <c r="S21" s="55"/>
      <c r="T21" s="55"/>
      <c r="U21" s="55"/>
      <c r="V21" s="55"/>
      <c r="W21" s="55"/>
      <c r="X21" s="55"/>
      <c r="Y21" s="55"/>
      <c r="Z21" s="55"/>
      <c r="AA21" s="55">
        <f>'GROWTH RATES'!X$20</f>
        <v>0</v>
      </c>
      <c r="AB21" s="55">
        <f>'GROWTH RATES'!Y$20</f>
        <v>0</v>
      </c>
      <c r="AC21" s="55">
        <f>'GROWTH RATES'!Z$20</f>
        <v>0</v>
      </c>
      <c r="AD21" s="55">
        <f>'GROWTH RATES'!AA$20</f>
        <v>0</v>
      </c>
      <c r="AE21" s="23"/>
    </row>
    <row r="22" spans="3:31" x14ac:dyDescent="0.25">
      <c r="C22" s="38" t="s">
        <v>427</v>
      </c>
      <c r="R22" s="54" t="s">
        <v>485</v>
      </c>
      <c r="S22" s="55">
        <f>'GROWTH RATES'!P$21</f>
        <v>0</v>
      </c>
      <c r="T22" s="55">
        <f>'GROWTH RATES'!Q$21</f>
        <v>0</v>
      </c>
      <c r="U22" s="55">
        <f>'GROWTH RATES'!R$21</f>
        <v>0</v>
      </c>
      <c r="V22" s="55">
        <f>'GROWTH RATES'!S$21</f>
        <v>0</v>
      </c>
      <c r="W22" s="55">
        <f>'GROWTH RATES'!T$21</f>
        <v>0</v>
      </c>
      <c r="X22" s="55">
        <f>'GROWTH RATES'!U$21</f>
        <v>0</v>
      </c>
      <c r="Y22" s="55">
        <f>'GROWTH RATES'!V$21</f>
        <v>0</v>
      </c>
      <c r="Z22" s="55">
        <f>'GROWTH RATES'!W$21</f>
        <v>0</v>
      </c>
      <c r="AA22" s="55">
        <f>'GROWTH RATES'!X$21</f>
        <v>0</v>
      </c>
      <c r="AB22" s="55"/>
      <c r="AC22" s="55"/>
      <c r="AD22" s="55"/>
      <c r="AE22" s="23"/>
    </row>
    <row r="23" spans="3:31" x14ac:dyDescent="0.25">
      <c r="C23" s="38" t="s">
        <v>428</v>
      </c>
      <c r="R23" s="54" t="s">
        <v>486</v>
      </c>
      <c r="S23" s="55"/>
      <c r="T23" s="55"/>
      <c r="U23" s="55"/>
      <c r="V23" s="55"/>
      <c r="W23" s="55"/>
      <c r="X23" s="55"/>
      <c r="Y23" s="55"/>
      <c r="Z23" s="55"/>
      <c r="AA23" s="55">
        <f>'GROWTH RATES'!X$21</f>
        <v>0</v>
      </c>
      <c r="AB23" s="55">
        <f>'GROWTH RATES'!Y$21</f>
        <v>0</v>
      </c>
      <c r="AC23" s="55">
        <f>'GROWTH RATES'!Z$21</f>
        <v>0</v>
      </c>
      <c r="AD23" s="55">
        <f>'GROWTH RATES'!AA$21</f>
        <v>0</v>
      </c>
      <c r="AE23" s="23"/>
    </row>
    <row r="24" spans="3:31" x14ac:dyDescent="0.25">
      <c r="C24" s="38" t="s">
        <v>429</v>
      </c>
      <c r="R24" s="54" t="s">
        <v>491</v>
      </c>
      <c r="S24" s="55">
        <f>'GROWTH RATES'!P$22</f>
        <v>0</v>
      </c>
      <c r="T24" s="55">
        <f>'GROWTH RATES'!Q$22</f>
        <v>0</v>
      </c>
      <c r="U24" s="55">
        <f>'GROWTH RATES'!R$22</f>
        <v>0</v>
      </c>
      <c r="V24" s="55">
        <f>'GROWTH RATES'!S$22</f>
        <v>0</v>
      </c>
      <c r="W24" s="55">
        <f>'GROWTH RATES'!T$22</f>
        <v>0</v>
      </c>
      <c r="X24" s="55">
        <f>'GROWTH RATES'!U$22</f>
        <v>0</v>
      </c>
      <c r="Y24" s="55">
        <f>'GROWTH RATES'!V$22</f>
        <v>0</v>
      </c>
      <c r="Z24" s="55">
        <f>'GROWTH RATES'!W$22</f>
        <v>0</v>
      </c>
      <c r="AA24" s="55">
        <f>'GROWTH RATES'!X$22</f>
        <v>0</v>
      </c>
      <c r="AB24" s="55"/>
      <c r="AC24" s="55"/>
      <c r="AD24" s="55"/>
      <c r="AE24" s="23"/>
    </row>
    <row r="25" spans="3:31" x14ac:dyDescent="0.25">
      <c r="C25" s="38" t="s">
        <v>430</v>
      </c>
      <c r="R25" s="54" t="s">
        <v>492</v>
      </c>
      <c r="S25" s="55"/>
      <c r="T25" s="55"/>
      <c r="U25" s="55"/>
      <c r="V25" s="55"/>
      <c r="W25" s="55"/>
      <c r="X25" s="55"/>
      <c r="Y25" s="55"/>
      <c r="Z25" s="55"/>
      <c r="AA25" s="55">
        <f>'GROWTH RATES'!X$22</f>
        <v>0</v>
      </c>
      <c r="AB25" s="55">
        <f>'GROWTH RATES'!Y$22</f>
        <v>0</v>
      </c>
      <c r="AC25" s="55">
        <f>'GROWTH RATES'!Z$22</f>
        <v>0</v>
      </c>
      <c r="AD25" s="55">
        <f>'GROWTH RATES'!AA$22</f>
        <v>0</v>
      </c>
      <c r="AE25" s="23"/>
    </row>
    <row r="26" spans="3:31" ht="15.75" thickBot="1" x14ac:dyDescent="0.3">
      <c r="C26" s="34" t="s">
        <v>431</v>
      </c>
      <c r="R26" s="54" t="s">
        <v>491</v>
      </c>
      <c r="S26" s="55">
        <f>'GROWTH RATES'!P$23</f>
        <v>0</v>
      </c>
      <c r="T26" s="55">
        <f>'GROWTH RATES'!Q$23</f>
        <v>0</v>
      </c>
      <c r="U26" s="55">
        <f>'GROWTH RATES'!R$23</f>
        <v>0</v>
      </c>
      <c r="V26" s="55">
        <f>'GROWTH RATES'!S$23</f>
        <v>0</v>
      </c>
      <c r="W26" s="55">
        <f>'GROWTH RATES'!T$23</f>
        <v>0</v>
      </c>
      <c r="X26" s="55">
        <f>'GROWTH RATES'!U$23</f>
        <v>0</v>
      </c>
      <c r="Y26" s="55">
        <f>'GROWTH RATES'!V$23</f>
        <v>0</v>
      </c>
      <c r="Z26" s="55">
        <f>'GROWTH RATES'!W$23</f>
        <v>0</v>
      </c>
      <c r="AA26" s="55">
        <f>'GROWTH RATES'!X$23</f>
        <v>0</v>
      </c>
      <c r="AB26" s="55"/>
      <c r="AC26" s="55"/>
      <c r="AD26" s="55"/>
      <c r="AE26" s="23"/>
    </row>
    <row r="27" spans="3:31" ht="15.75" thickBot="1" x14ac:dyDescent="0.3">
      <c r="R27" s="462" t="s">
        <v>492</v>
      </c>
      <c r="S27" s="463"/>
      <c r="T27" s="463"/>
      <c r="U27" s="463"/>
      <c r="V27" s="463"/>
      <c r="W27" s="463"/>
      <c r="X27" s="463"/>
      <c r="Y27" s="463"/>
      <c r="Z27" s="463"/>
      <c r="AA27" s="463">
        <f>'GROWTH RATES'!X$23</f>
        <v>0</v>
      </c>
      <c r="AB27" s="463">
        <f>'GROWTH RATES'!Y$23</f>
        <v>0</v>
      </c>
      <c r="AC27" s="463">
        <f>'GROWTH RATES'!Z$23</f>
        <v>0</v>
      </c>
      <c r="AD27" s="463">
        <f>'GROWTH RATES'!AA$23</f>
        <v>0</v>
      </c>
      <c r="AE27" s="23"/>
    </row>
    <row r="28" spans="3:31" ht="15.75" thickBot="1" x14ac:dyDescent="0.3">
      <c r="AE28" s="23"/>
    </row>
    <row r="29" spans="3:31" ht="15.75" thickBot="1" x14ac:dyDescent="0.3">
      <c r="R29" s="464" t="s">
        <v>261</v>
      </c>
      <c r="S29" s="465">
        <v>2015</v>
      </c>
      <c r="T29" s="465">
        <v>2016</v>
      </c>
      <c r="U29" s="465">
        <v>2017</v>
      </c>
      <c r="V29" s="465">
        <v>2018</v>
      </c>
      <c r="W29" s="466">
        <v>2019</v>
      </c>
      <c r="X29" s="466">
        <v>2020</v>
      </c>
      <c r="Y29" s="467">
        <v>2021</v>
      </c>
      <c r="Z29" s="468">
        <v>2022</v>
      </c>
      <c r="AA29" s="469">
        <v>2023</v>
      </c>
      <c r="AB29" s="469">
        <v>2024</v>
      </c>
      <c r="AC29" s="469">
        <v>2025</v>
      </c>
      <c r="AD29" s="470">
        <v>2026</v>
      </c>
      <c r="AE29" s="23"/>
    </row>
    <row r="30" spans="3:31" x14ac:dyDescent="0.25">
      <c r="R30" s="54" t="s">
        <v>471</v>
      </c>
      <c r="S30" s="471" t="e">
        <f>'GROWTH RATES'!P32</f>
        <v>#N/A</v>
      </c>
      <c r="T30" s="471" t="e">
        <f>'GROWTH RATES'!Q32</f>
        <v>#N/A</v>
      </c>
      <c r="U30" s="471" t="e">
        <f>'GROWTH RATES'!Q32</f>
        <v>#N/A</v>
      </c>
      <c r="V30" s="471" t="e">
        <f>'GROWTH RATES'!R32</f>
        <v>#N/A</v>
      </c>
      <c r="W30" s="471" t="e">
        <f>'GROWTH RATES'!S32</f>
        <v>#N/A</v>
      </c>
      <c r="X30" s="471" t="e">
        <f>'GROWTH RATES'!T32</f>
        <v>#N/A</v>
      </c>
      <c r="Y30" s="471" t="e">
        <f>'GROWTH RATES'!U32</f>
        <v>#N/A</v>
      </c>
      <c r="Z30" s="471" t="e">
        <f>'GROWTH RATES'!V32</f>
        <v>#N/A</v>
      </c>
      <c r="AA30" s="471" t="e">
        <f>'GROWTH RATES'!W32</f>
        <v>#N/A</v>
      </c>
      <c r="AB30" s="471"/>
      <c r="AC30" s="471"/>
      <c r="AD30" s="472"/>
      <c r="AE30" s="23"/>
    </row>
    <row r="31" spans="3:31" x14ac:dyDescent="0.25">
      <c r="R31" s="54" t="s">
        <v>474</v>
      </c>
      <c r="S31" s="471" t="e">
        <f>'GROWTH RATES'!P33</f>
        <v>#N/A</v>
      </c>
      <c r="T31" s="471" t="e">
        <f>'GROWTH RATES'!Q33</f>
        <v>#N/A</v>
      </c>
      <c r="U31" s="471" t="e">
        <f>'GROWTH RATES'!Q33</f>
        <v>#N/A</v>
      </c>
      <c r="V31" s="471" t="e">
        <f>'GROWTH RATES'!R33</f>
        <v>#N/A</v>
      </c>
      <c r="W31" s="471" t="e">
        <f>'GROWTH RATES'!S33</f>
        <v>#N/A</v>
      </c>
      <c r="X31" s="471" t="e">
        <f>'GROWTH RATES'!T33</f>
        <v>#N/A</v>
      </c>
      <c r="Y31" s="471" t="e">
        <f>'GROWTH RATES'!U33</f>
        <v>#N/A</v>
      </c>
      <c r="Z31" s="471" t="e">
        <f>'GROWTH RATES'!V33</f>
        <v>#N/A</v>
      </c>
      <c r="AA31" s="471" t="e">
        <f>'GROWTH RATES'!W33</f>
        <v>#N/A</v>
      </c>
      <c r="AB31" s="471"/>
      <c r="AC31" s="471"/>
      <c r="AD31" s="472"/>
      <c r="AE31" s="23"/>
    </row>
    <row r="32" spans="3:31" x14ac:dyDescent="0.25">
      <c r="R32" s="54" t="s">
        <v>475</v>
      </c>
      <c r="S32" s="471"/>
      <c r="T32" s="471"/>
      <c r="U32" s="471"/>
      <c r="V32" s="471"/>
      <c r="W32" s="471"/>
      <c r="X32" s="471"/>
      <c r="Y32" s="471"/>
      <c r="Z32" s="471"/>
      <c r="AA32" s="471"/>
      <c r="AB32" s="471"/>
      <c r="AC32" s="471"/>
      <c r="AD32" s="472"/>
      <c r="AE32" s="23"/>
    </row>
    <row r="33" spans="18:31" x14ac:dyDescent="0.25">
      <c r="R33" s="54" t="s">
        <v>477</v>
      </c>
      <c r="S33" s="471"/>
      <c r="T33" s="471"/>
      <c r="U33" s="471"/>
      <c r="V33" s="471"/>
      <c r="W33" s="471"/>
      <c r="X33" s="471"/>
      <c r="Y33" s="471"/>
      <c r="Z33" s="471"/>
      <c r="AA33" s="471"/>
      <c r="AB33" s="471"/>
      <c r="AC33" s="471"/>
      <c r="AD33" s="472"/>
      <c r="AE33" s="23"/>
    </row>
    <row r="34" spans="18:31" x14ac:dyDescent="0.25">
      <c r="R34" s="54" t="s">
        <v>487</v>
      </c>
      <c r="S34" s="471" t="e">
        <f>'GROWTH RATES'!P34</f>
        <v>#N/A</v>
      </c>
      <c r="T34" s="471" t="e">
        <f>'GROWTH RATES'!Q34</f>
        <v>#N/A</v>
      </c>
      <c r="U34" s="471" t="e">
        <f>'GROWTH RATES'!Q34</f>
        <v>#N/A</v>
      </c>
      <c r="V34" s="471" t="e">
        <f>'GROWTH RATES'!R34</f>
        <v>#N/A</v>
      </c>
      <c r="W34" s="471" t="e">
        <f>'GROWTH RATES'!S34</f>
        <v>#N/A</v>
      </c>
      <c r="X34" s="471" t="e">
        <f>'GROWTH RATES'!T34</f>
        <v>#N/A</v>
      </c>
      <c r="Y34" s="471" t="e">
        <f>'GROWTH RATES'!U34</f>
        <v>#N/A</v>
      </c>
      <c r="Z34" s="471" t="e">
        <f>'GROWTH RATES'!V34</f>
        <v>#N/A</v>
      </c>
      <c r="AA34" s="471" t="e">
        <f>'GROWTH RATES'!W34</f>
        <v>#N/A</v>
      </c>
      <c r="AB34" s="471"/>
      <c r="AC34" s="471"/>
      <c r="AD34" s="472"/>
      <c r="AE34" s="23"/>
    </row>
    <row r="35" spans="18:31" x14ac:dyDescent="0.25">
      <c r="R35" s="54" t="s">
        <v>489</v>
      </c>
      <c r="S35" s="471" t="e">
        <f>'GROWTH RATES'!P35</f>
        <v>#N/A</v>
      </c>
      <c r="T35" s="471" t="e">
        <f>'GROWTH RATES'!Q35</f>
        <v>#N/A</v>
      </c>
      <c r="U35" s="471" t="e">
        <f>'GROWTH RATES'!Q35</f>
        <v>#N/A</v>
      </c>
      <c r="V35" s="471" t="e">
        <f>'GROWTH RATES'!R35</f>
        <v>#N/A</v>
      </c>
      <c r="W35" s="471" t="e">
        <f>'GROWTH RATES'!S35</f>
        <v>#N/A</v>
      </c>
      <c r="X35" s="471" t="e">
        <f>'GROWTH RATES'!T35</f>
        <v>#N/A</v>
      </c>
      <c r="Y35" s="471" t="e">
        <f>'GROWTH RATES'!U35</f>
        <v>#N/A</v>
      </c>
      <c r="Z35" s="471" t="e">
        <f>'GROWTH RATES'!V35</f>
        <v>#N/A</v>
      </c>
      <c r="AA35" s="471" t="e">
        <f>'GROWTH RATES'!W35</f>
        <v>#N/A</v>
      </c>
      <c r="AB35" s="471"/>
      <c r="AC35" s="471"/>
      <c r="AD35" s="472"/>
      <c r="AE35" s="23"/>
    </row>
    <row r="36" spans="18:31" x14ac:dyDescent="0.25">
      <c r="R36" s="54" t="s">
        <v>479</v>
      </c>
      <c r="S36" s="471"/>
      <c r="T36" s="471"/>
      <c r="U36" s="471"/>
      <c r="V36" s="471"/>
      <c r="W36" s="471"/>
      <c r="X36" s="471"/>
      <c r="Y36" s="471"/>
      <c r="Z36" s="471"/>
      <c r="AA36" s="471"/>
      <c r="AB36" s="471"/>
      <c r="AC36" s="471"/>
      <c r="AD36" s="472"/>
    </row>
    <row r="37" spans="18:31" x14ac:dyDescent="0.25">
      <c r="R37" s="54" t="s">
        <v>481</v>
      </c>
      <c r="S37" s="471"/>
      <c r="T37" s="471"/>
      <c r="U37" s="471"/>
      <c r="V37" s="471"/>
      <c r="W37" s="471"/>
      <c r="X37" s="471"/>
      <c r="Y37" s="471"/>
      <c r="Z37" s="471"/>
      <c r="AA37" s="471"/>
      <c r="AB37" s="471"/>
      <c r="AC37" s="471"/>
      <c r="AD37" s="472"/>
    </row>
    <row r="38" spans="18:31" x14ac:dyDescent="0.25">
      <c r="R38" s="54" t="s">
        <v>483</v>
      </c>
      <c r="S38" s="471"/>
      <c r="T38" s="471"/>
      <c r="U38" s="471"/>
      <c r="V38" s="471"/>
      <c r="W38" s="471"/>
      <c r="X38" s="471"/>
      <c r="Y38" s="471"/>
      <c r="Z38" s="471"/>
      <c r="AA38" s="471"/>
      <c r="AB38" s="471"/>
      <c r="AC38" s="471"/>
      <c r="AD38" s="472"/>
    </row>
    <row r="39" spans="18:31" x14ac:dyDescent="0.25">
      <c r="R39" s="54" t="s">
        <v>485</v>
      </c>
      <c r="S39" s="471"/>
      <c r="T39" s="471"/>
      <c r="U39" s="471"/>
      <c r="V39" s="471"/>
      <c r="W39" s="471"/>
      <c r="X39" s="471"/>
      <c r="Y39" s="471"/>
      <c r="Z39" s="471"/>
      <c r="AA39" s="471"/>
      <c r="AB39" s="471"/>
      <c r="AC39" s="471"/>
      <c r="AD39" s="472"/>
    </row>
    <row r="40" spans="18:31" x14ac:dyDescent="0.25">
      <c r="R40" s="54" t="s">
        <v>505</v>
      </c>
      <c r="S40" s="471" t="e">
        <f>'GROWTH RATES'!#REF!</f>
        <v>#REF!</v>
      </c>
      <c r="T40" s="471" t="e">
        <f>'GROWTH RATES'!#REF!</f>
        <v>#REF!</v>
      </c>
      <c r="U40" s="471" t="e">
        <f>'GROWTH RATES'!#REF!</f>
        <v>#REF!</v>
      </c>
      <c r="V40" s="471" t="e">
        <f>'GROWTH RATES'!#REF!</f>
        <v>#REF!</v>
      </c>
      <c r="W40" s="471" t="e">
        <f>'GROWTH RATES'!#REF!</f>
        <v>#REF!</v>
      </c>
      <c r="X40" s="471" t="e">
        <f>'GROWTH RATES'!#REF!</f>
        <v>#REF!</v>
      </c>
      <c r="Y40" s="471" t="e">
        <f>'GROWTH RATES'!#REF!</f>
        <v>#REF!</v>
      </c>
      <c r="Z40" s="471" t="e">
        <f>'GROWTH RATES'!#REF!</f>
        <v>#REF!</v>
      </c>
      <c r="AA40" s="471" t="e">
        <f>'GROWTH RATES'!#REF!</f>
        <v>#REF!</v>
      </c>
      <c r="AB40" s="471"/>
      <c r="AC40" s="471"/>
      <c r="AD40" s="472"/>
    </row>
    <row r="41" spans="18:31" x14ac:dyDescent="0.25">
      <c r="R41" s="54" t="s">
        <v>506</v>
      </c>
      <c r="S41" s="471" t="e">
        <f>'GROWTH RATES'!P36</f>
        <v>#REF!</v>
      </c>
      <c r="T41" s="471" t="e">
        <f>'GROWTH RATES'!Q36</f>
        <v>#REF!</v>
      </c>
      <c r="U41" s="471" t="e">
        <f>'GROWTH RATES'!Q36</f>
        <v>#REF!</v>
      </c>
      <c r="V41" s="471" t="e">
        <f>'GROWTH RATES'!R36</f>
        <v>#REF!</v>
      </c>
      <c r="W41" s="471" t="e">
        <f>'GROWTH RATES'!S36</f>
        <v>#REF!</v>
      </c>
      <c r="X41" s="471" t="e">
        <f>'GROWTH RATES'!T36</f>
        <v>#REF!</v>
      </c>
      <c r="Y41" s="471" t="e">
        <f>'GROWTH RATES'!U36</f>
        <v>#REF!</v>
      </c>
      <c r="Z41" s="471" t="e">
        <f>'GROWTH RATES'!V36</f>
        <v>#REF!</v>
      </c>
      <c r="AA41" s="471" t="e">
        <f>'GROWTH RATES'!W36</f>
        <v>#N/A</v>
      </c>
      <c r="AB41" s="471"/>
      <c r="AC41" s="471"/>
      <c r="AD41" s="472"/>
    </row>
    <row r="42" spans="18:31" x14ac:dyDescent="0.25">
      <c r="R42" s="54" t="s">
        <v>317</v>
      </c>
      <c r="S42" s="471" t="e">
        <f>'GROWTH RATES'!P37</f>
        <v>#REF!</v>
      </c>
      <c r="T42" s="471" t="e">
        <f>'GROWTH RATES'!Q37</f>
        <v>#REF!</v>
      </c>
      <c r="U42" s="471" t="e">
        <f>'GROWTH RATES'!Q37</f>
        <v>#REF!</v>
      </c>
      <c r="V42" s="471" t="e">
        <f>'GROWTH RATES'!R37</f>
        <v>#REF!</v>
      </c>
      <c r="W42" s="471" t="e">
        <f>'GROWTH RATES'!S37</f>
        <v>#REF!</v>
      </c>
      <c r="X42" s="471" t="e">
        <f>'GROWTH RATES'!T37</f>
        <v>#REF!</v>
      </c>
      <c r="Y42" s="471" t="e">
        <f>'GROWTH RATES'!U37</f>
        <v>#REF!</v>
      </c>
      <c r="Z42" s="471" t="e">
        <f>'GROWTH RATES'!V37</f>
        <v>#REF!</v>
      </c>
      <c r="AA42" s="471" t="e">
        <f>'GROWTH RATES'!W37</f>
        <v>#N/A</v>
      </c>
      <c r="AB42" s="471"/>
      <c r="AC42" s="471"/>
      <c r="AD42" s="472"/>
    </row>
    <row r="43" spans="18:31" x14ac:dyDescent="0.25">
      <c r="R43" s="54" t="s">
        <v>318</v>
      </c>
      <c r="S43" s="471" t="e">
        <f>'GROWTH RATES'!P38</f>
        <v>#N/A</v>
      </c>
      <c r="T43" s="471" t="e">
        <f>'GROWTH RATES'!Q38</f>
        <v>#N/A</v>
      </c>
      <c r="U43" s="471" t="e">
        <f>'GROWTH RATES'!Q38</f>
        <v>#N/A</v>
      </c>
      <c r="V43" s="471" t="e">
        <f>'GROWTH RATES'!R38</f>
        <v>#N/A</v>
      </c>
      <c r="W43" s="471" t="e">
        <f>'GROWTH RATES'!S38</f>
        <v>#N/A</v>
      </c>
      <c r="X43" s="471" t="e">
        <f>'GROWTH RATES'!T38</f>
        <v>#N/A</v>
      </c>
      <c r="Y43" s="471" t="e">
        <f>'GROWTH RATES'!U38</f>
        <v>#N/A</v>
      </c>
      <c r="Z43" s="471" t="e">
        <f>'GROWTH RATES'!V38</f>
        <v>#N/A</v>
      </c>
      <c r="AA43" s="471" t="e">
        <f>'GROWTH RATES'!W38</f>
        <v>#N/A</v>
      </c>
      <c r="AB43" s="471"/>
      <c r="AC43" s="471"/>
      <c r="AD43" s="472"/>
    </row>
    <row r="44" spans="18:31" x14ac:dyDescent="0.25">
      <c r="R44" s="54" t="s">
        <v>319</v>
      </c>
      <c r="S44" s="471" t="e">
        <f>'GROWTH RATES'!P39</f>
        <v>#N/A</v>
      </c>
      <c r="T44" s="471" t="e">
        <f>'GROWTH RATES'!Q39</f>
        <v>#N/A</v>
      </c>
      <c r="U44" s="471" t="e">
        <f>'GROWTH RATES'!Q39</f>
        <v>#N/A</v>
      </c>
      <c r="V44" s="471" t="e">
        <f>'GROWTH RATES'!R39</f>
        <v>#N/A</v>
      </c>
      <c r="W44" s="471" t="e">
        <f>'GROWTH RATES'!S39</f>
        <v>#N/A</v>
      </c>
      <c r="X44" s="471" t="e">
        <f>'GROWTH RATES'!T39</f>
        <v>#N/A</v>
      </c>
      <c r="Y44" s="471" t="e">
        <f>'GROWTH RATES'!U39</f>
        <v>#N/A</v>
      </c>
      <c r="Z44" s="471" t="e">
        <f>'GROWTH RATES'!V39</f>
        <v>#N/A</v>
      </c>
      <c r="AA44" s="471" t="e">
        <f>'GROWTH RATES'!W39</f>
        <v>#N/A</v>
      </c>
      <c r="AB44" s="471"/>
      <c r="AC44" s="471"/>
      <c r="AD44" s="472"/>
    </row>
    <row r="45" spans="18:31" x14ac:dyDescent="0.25">
      <c r="R45" s="54" t="s">
        <v>471</v>
      </c>
      <c r="S45" s="456"/>
      <c r="T45" s="456"/>
      <c r="U45" s="456"/>
      <c r="V45" s="456"/>
      <c r="W45" s="456"/>
      <c r="X45" s="471"/>
      <c r="Y45" s="471"/>
      <c r="Z45" s="471"/>
      <c r="AA45" s="471" t="e">
        <f>'GROWTH RATES'!W32</f>
        <v>#N/A</v>
      </c>
      <c r="AB45" s="471">
        <f>'GROWTH RATES'!X32</f>
        <v>-7.142629038286179</v>
      </c>
      <c r="AC45" s="471">
        <f>'GROWTH RATES'!Y32</f>
        <v>-1.3904175119430546</v>
      </c>
      <c r="AD45" s="472">
        <f>'GROWTH RATES'!Z32</f>
        <v>0.18803783251452932</v>
      </c>
    </row>
    <row r="46" spans="18:31" x14ac:dyDescent="0.25">
      <c r="R46" s="54" t="s">
        <v>474</v>
      </c>
      <c r="S46" s="456"/>
      <c r="T46" s="456"/>
      <c r="U46" s="456"/>
      <c r="V46" s="456"/>
      <c r="W46" s="456"/>
      <c r="X46" s="471"/>
      <c r="Y46" s="471"/>
      <c r="Z46" s="471"/>
      <c r="AA46" s="471" t="e">
        <f>'GROWTH RATES'!W33</f>
        <v>#N/A</v>
      </c>
      <c r="AB46" s="471">
        <f>'GROWTH RATES'!X33</f>
        <v>1.8159226368524184</v>
      </c>
      <c r="AC46" s="471">
        <f>'GROWTH RATES'!Y33</f>
        <v>0.46324053803979526</v>
      </c>
      <c r="AD46" s="472">
        <f>'GROWTH RATES'!Z33</f>
        <v>0.56411349754358797</v>
      </c>
    </row>
    <row r="47" spans="18:31" x14ac:dyDescent="0.25">
      <c r="R47" s="54" t="s">
        <v>475</v>
      </c>
      <c r="S47" s="456"/>
      <c r="T47" s="456"/>
      <c r="U47" s="456"/>
      <c r="V47" s="456"/>
      <c r="W47" s="456"/>
      <c r="X47" s="471"/>
      <c r="Y47" s="471"/>
      <c r="Z47" s="471"/>
      <c r="AA47" s="471"/>
      <c r="AB47" s="471"/>
      <c r="AC47" s="471"/>
      <c r="AD47" s="472"/>
    </row>
    <row r="48" spans="18:31" x14ac:dyDescent="0.25">
      <c r="R48" s="54" t="s">
        <v>477</v>
      </c>
      <c r="S48" s="456"/>
      <c r="T48" s="456"/>
      <c r="U48" s="456"/>
      <c r="V48" s="456"/>
      <c r="W48" s="456"/>
      <c r="X48" s="471"/>
      <c r="Y48" s="471"/>
      <c r="Z48" s="471"/>
      <c r="AA48" s="471"/>
      <c r="AB48" s="471"/>
      <c r="AC48" s="471"/>
      <c r="AD48" s="472"/>
    </row>
    <row r="49" spans="18:30" x14ac:dyDescent="0.25">
      <c r="R49" s="54" t="s">
        <v>487</v>
      </c>
      <c r="S49" s="456"/>
      <c r="T49" s="456"/>
      <c r="U49" s="456"/>
      <c r="V49" s="456"/>
      <c r="W49" s="456"/>
      <c r="X49" s="471"/>
      <c r="Y49" s="471"/>
      <c r="Z49" s="471"/>
      <c r="AA49" s="471" t="e">
        <f>'GROWTH RATES'!W34</f>
        <v>#N/A</v>
      </c>
      <c r="AB49" s="471">
        <f>'GROWTH RATES'!X34</f>
        <v>-4.6192151642489181</v>
      </c>
      <c r="AC49" s="471">
        <f>'GROWTH RATES'!Y34</f>
        <v>-2.3015620399731027</v>
      </c>
      <c r="AD49" s="472">
        <f>'GROWTH RATES'!Z34</f>
        <v>0.44234474925024081</v>
      </c>
    </row>
    <row r="50" spans="18:30" x14ac:dyDescent="0.25">
      <c r="R50" s="54" t="s">
        <v>489</v>
      </c>
      <c r="S50" s="456"/>
      <c r="T50" s="456"/>
      <c r="U50" s="456"/>
      <c r="V50" s="456"/>
      <c r="W50" s="456"/>
      <c r="X50" s="471"/>
      <c r="Y50" s="471"/>
      <c r="Z50" s="471"/>
      <c r="AA50" s="471" t="e">
        <f>'GROWTH RATES'!W35</f>
        <v>#N/A</v>
      </c>
      <c r="AB50" s="471">
        <f>'GROWTH RATES'!X35</f>
        <v>-0.49745394076526811</v>
      </c>
      <c r="AC50" s="471">
        <f>'GROWTH RATES'!Y35</f>
        <v>-0.40111077196152994</v>
      </c>
      <c r="AD50" s="472">
        <f>'GROWTH RATES'!Z35</f>
        <v>0.7077515988003853</v>
      </c>
    </row>
    <row r="51" spans="18:30" x14ac:dyDescent="0.25">
      <c r="R51" s="54" t="s">
        <v>479</v>
      </c>
      <c r="S51" s="456"/>
      <c r="T51" s="456"/>
      <c r="U51" s="456"/>
      <c r="V51" s="456"/>
      <c r="W51" s="456"/>
      <c r="X51" s="471"/>
      <c r="Y51" s="471"/>
      <c r="Z51" s="471"/>
      <c r="AA51" s="471"/>
      <c r="AB51" s="471"/>
      <c r="AC51" s="471"/>
      <c r="AD51" s="472"/>
    </row>
    <row r="52" spans="18:30" x14ac:dyDescent="0.25">
      <c r="R52" s="54" t="s">
        <v>481</v>
      </c>
      <c r="S52" s="456"/>
      <c r="T52" s="456"/>
      <c r="U52" s="456"/>
      <c r="V52" s="456"/>
      <c r="W52" s="456"/>
      <c r="X52" s="471"/>
      <c r="Y52" s="471"/>
      <c r="Z52" s="471"/>
      <c r="AA52" s="471"/>
      <c r="AB52" s="471"/>
      <c r="AC52" s="471"/>
      <c r="AD52" s="472"/>
    </row>
    <row r="53" spans="18:30" x14ac:dyDescent="0.25">
      <c r="R53" s="54" t="s">
        <v>483</v>
      </c>
      <c r="S53" s="456"/>
      <c r="T53" s="456"/>
      <c r="U53" s="456"/>
      <c r="V53" s="456"/>
      <c r="W53" s="456"/>
      <c r="X53" s="471"/>
      <c r="Y53" s="471"/>
      <c r="Z53" s="471"/>
      <c r="AA53" s="471"/>
      <c r="AB53" s="471"/>
      <c r="AC53" s="471"/>
      <c r="AD53" s="472"/>
    </row>
    <row r="54" spans="18:30" x14ac:dyDescent="0.25">
      <c r="R54" s="54" t="s">
        <v>485</v>
      </c>
      <c r="S54" s="456"/>
      <c r="T54" s="456"/>
      <c r="U54" s="456"/>
      <c r="V54" s="456"/>
      <c r="W54" s="456"/>
      <c r="X54" s="471"/>
      <c r="Y54" s="471"/>
      <c r="Z54" s="471"/>
      <c r="AA54" s="471"/>
      <c r="AB54" s="471"/>
      <c r="AC54" s="471"/>
      <c r="AD54" s="472"/>
    </row>
    <row r="55" spans="18:30" x14ac:dyDescent="0.25">
      <c r="R55" s="54" t="s">
        <v>505</v>
      </c>
      <c r="S55" s="456"/>
      <c r="T55" s="456"/>
      <c r="U55" s="456"/>
      <c r="V55" s="456"/>
      <c r="W55" s="456"/>
      <c r="X55" s="471"/>
      <c r="Y55" s="471"/>
      <c r="Z55" s="471"/>
      <c r="AA55" s="471" t="e">
        <f>'GROWTH RATES'!#REF!</f>
        <v>#REF!</v>
      </c>
      <c r="AB55" s="471" t="e">
        <f>'GROWTH RATES'!#REF!</f>
        <v>#REF!</v>
      </c>
      <c r="AC55" s="471" t="e">
        <f>'GROWTH RATES'!#REF!</f>
        <v>#REF!</v>
      </c>
      <c r="AD55" s="472" t="e">
        <f>'GROWTH RATES'!#REF!</f>
        <v>#REF!</v>
      </c>
    </row>
    <row r="56" spans="18:30" x14ac:dyDescent="0.25">
      <c r="R56" s="54" t="s">
        <v>506</v>
      </c>
      <c r="S56" s="456"/>
      <c r="T56" s="456"/>
      <c r="U56" s="456"/>
      <c r="V56" s="456"/>
      <c r="W56" s="456"/>
      <c r="X56" s="471"/>
      <c r="Y56" s="471"/>
      <c r="Z56" s="471"/>
      <c r="AA56" s="471" t="e">
        <f>'GROWTH RATES'!W36</f>
        <v>#N/A</v>
      </c>
      <c r="AB56" s="471">
        <f>'GROWTH RATES'!X36</f>
        <v>-0.74904072755167128</v>
      </c>
      <c r="AC56" s="471">
        <f>'GROWTH RATES'!Y36</f>
        <v>-1.220339363207501</v>
      </c>
      <c r="AD56" s="472">
        <f>'GROWTH RATES'!Z36</f>
        <v>0.26351343447444719</v>
      </c>
    </row>
    <row r="57" spans="18:30" x14ac:dyDescent="0.25">
      <c r="R57" s="54" t="s">
        <v>317</v>
      </c>
      <c r="S57" s="456"/>
      <c r="T57" s="456"/>
      <c r="U57" s="456"/>
      <c r="V57" s="456"/>
      <c r="W57" s="456"/>
      <c r="X57" s="471"/>
      <c r="Y57" s="471"/>
      <c r="Z57" s="471"/>
      <c r="AA57" s="471" t="e">
        <f>'GROWTH RATES'!W37</f>
        <v>#N/A</v>
      </c>
      <c r="AB57" s="471">
        <f>'GROWTH RATES'!X37</f>
        <v>-0.1702365289890162</v>
      </c>
      <c r="AC57" s="471">
        <f>'GROWTH RATES'!Y37</f>
        <v>-0.14983625932936562</v>
      </c>
      <c r="AD57" s="472">
        <f>'GROWTH RATES'!Z37</f>
        <v>0.46114851033028265</v>
      </c>
    </row>
    <row r="58" spans="18:30" x14ac:dyDescent="0.25">
      <c r="R58" s="54" t="s">
        <v>318</v>
      </c>
      <c r="S58" s="456"/>
      <c r="T58" s="456"/>
      <c r="U58" s="456"/>
      <c r="V58" s="456"/>
      <c r="W58" s="456"/>
      <c r="X58" s="471"/>
      <c r="Y58" s="471"/>
      <c r="Z58" s="471"/>
      <c r="AA58" s="471" t="e">
        <f>'GROWTH RATES'!W38</f>
        <v>#N/A</v>
      </c>
      <c r="AB58" s="471">
        <f>'GROWTH RATES'!X38</f>
        <v>0</v>
      </c>
      <c r="AC58" s="471">
        <f>'GROWTH RATES'!Y38</f>
        <v>0</v>
      </c>
      <c r="AD58" s="472">
        <f>'GROWTH RATES'!Z38</f>
        <v>0</v>
      </c>
    </row>
    <row r="59" spans="18:30" ht="15.75" thickBot="1" x14ac:dyDescent="0.3">
      <c r="R59" s="462" t="s">
        <v>319</v>
      </c>
      <c r="S59" s="457"/>
      <c r="T59" s="457"/>
      <c r="U59" s="457"/>
      <c r="V59" s="457"/>
      <c r="W59" s="457"/>
      <c r="X59" s="473"/>
      <c r="Y59" s="473"/>
      <c r="Z59" s="473"/>
      <c r="AA59" s="473" t="e">
        <f>'GROWTH RATES'!W39</f>
        <v>#N/A</v>
      </c>
      <c r="AB59" s="473">
        <f>'GROWTH RATES'!X39</f>
        <v>0</v>
      </c>
      <c r="AC59" s="473">
        <f>'GROWTH RATES'!Y39</f>
        <v>0</v>
      </c>
      <c r="AD59" s="474">
        <f>'GROWTH RATES'!Z39</f>
        <v>0</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44" t="s">
        <v>320</v>
      </c>
      <c r="C2" s="644"/>
      <c r="D2" s="644"/>
      <c r="E2" s="644"/>
      <c r="F2" s="644"/>
      <c r="G2" s="644"/>
      <c r="H2" s="644"/>
      <c r="I2" s="644"/>
      <c r="J2" s="644"/>
    </row>
    <row r="3" spans="1:18" ht="12.75" x14ac:dyDescent="0.25">
      <c r="C3" s="219"/>
    </row>
    <row r="4" spans="1:18" ht="15" x14ac:dyDescent="0.25">
      <c r="C4" s="228" t="s">
        <v>321</v>
      </c>
      <c r="D4" s="239" t="s">
        <v>322</v>
      </c>
      <c r="E4" s="235"/>
      <c r="F4" s="235"/>
      <c r="G4" s="235"/>
      <c r="H4" s="235" t="s">
        <v>323</v>
      </c>
      <c r="I4" s="236" t="s">
        <v>324</v>
      </c>
      <c r="L4" s="214" t="s">
        <v>325</v>
      </c>
      <c r="N4" s="214">
        <v>0</v>
      </c>
      <c r="P4" s="214" t="s">
        <v>326</v>
      </c>
      <c r="R4" s="216"/>
    </row>
    <row r="5" spans="1:18" ht="12.75" x14ac:dyDescent="0.25">
      <c r="C5" s="235"/>
      <c r="D5" s="228"/>
      <c r="E5" s="235"/>
      <c r="F5" s="235"/>
      <c r="G5" s="235"/>
      <c r="H5" s="235"/>
      <c r="I5" s="235"/>
      <c r="L5" s="214" t="s">
        <v>322</v>
      </c>
      <c r="N5" s="214">
        <f>N4+1</f>
        <v>1</v>
      </c>
      <c r="P5" s="214" t="s">
        <v>324</v>
      </c>
      <c r="R5" s="216"/>
    </row>
    <row r="6" spans="1:18" ht="38.25" x14ac:dyDescent="0.25">
      <c r="A6" s="231" t="str">
        <f>CONCATENATE("lav",D6)</f>
        <v>lav2023</v>
      </c>
      <c r="C6" s="235" t="s">
        <v>327</v>
      </c>
      <c r="D6" s="228">
        <v>2023</v>
      </c>
      <c r="E6" s="235"/>
      <c r="F6" s="235"/>
      <c r="G6" s="235"/>
      <c r="H6" s="237" t="s">
        <v>328</v>
      </c>
      <c r="I6" s="238">
        <v>0</v>
      </c>
      <c r="J6" s="214"/>
      <c r="N6" s="214">
        <f t="shared" ref="N6:N18" si="0">N5+1</f>
        <v>2</v>
      </c>
      <c r="R6" s="216"/>
    </row>
    <row r="7" spans="1:18" ht="12.75" x14ac:dyDescent="0.25">
      <c r="D7" s="475"/>
      <c r="N7" s="214">
        <f t="shared" si="0"/>
        <v>3</v>
      </c>
      <c r="P7" s="233"/>
      <c r="R7" s="216"/>
    </row>
    <row r="8" spans="1:18" ht="12.75" x14ac:dyDescent="0.25">
      <c r="B8" s="643" t="s">
        <v>329</v>
      </c>
      <c r="C8" s="643"/>
      <c r="D8" s="643"/>
      <c r="E8" s="643"/>
      <c r="H8" s="230" t="s">
        <v>330</v>
      </c>
      <c r="I8" s="214"/>
      <c r="M8" s="233">
        <v>2015</v>
      </c>
      <c r="N8" s="214">
        <f t="shared" si="0"/>
        <v>4</v>
      </c>
      <c r="R8" s="216"/>
    </row>
    <row r="9" spans="1:18" ht="12.75" x14ac:dyDescent="0.25">
      <c r="B9" s="216">
        <v>22</v>
      </c>
      <c r="C9" s="221" t="s">
        <v>155</v>
      </c>
      <c r="D9" s="222">
        <f>HLOOKUP(CONCATENATE("lav",$D$6),linkage_aggregate_variables!$P$1:$AA$25,parameters!B9,0)</f>
        <v>-9.5649127935406586E-3</v>
      </c>
      <c r="F9" s="231"/>
      <c r="G9" s="216">
        <v>2</v>
      </c>
      <c r="H9" s="221" t="s">
        <v>390</v>
      </c>
      <c r="I9" s="222">
        <f>HLOOKUP(CONCATENATE("lav",$D$6),linkage_aggregate_variables!$P$1:$AA$25,parameters!G9,0)</f>
        <v>-7.1426290382861746E-2</v>
      </c>
      <c r="M9" s="233">
        <v>2016</v>
      </c>
      <c r="N9" s="214">
        <f t="shared" si="0"/>
        <v>5</v>
      </c>
      <c r="R9" s="216"/>
    </row>
    <row r="10" spans="1:18" ht="12.75" x14ac:dyDescent="0.25">
      <c r="B10" s="216">
        <v>23</v>
      </c>
      <c r="C10" s="221" t="s">
        <v>157</v>
      </c>
      <c r="D10" s="222">
        <f>HLOOKUP(CONCATENATE("lav",$D$6),linkage_aggregate_variables!$P$1:$AA$25,parameters!B10,0)</f>
        <v>5.655531628506294E-3</v>
      </c>
      <c r="F10" s="231"/>
      <c r="G10" s="216">
        <v>3</v>
      </c>
      <c r="H10" s="221" t="s">
        <v>389</v>
      </c>
      <c r="I10" s="222">
        <f>HLOOKUP(CONCATENATE("lav",$D$6),linkage_aggregate_variables!$P$1:$AA$25,parameters!G10,0)</f>
        <v>1.8159226368524184E-2</v>
      </c>
      <c r="M10" s="233">
        <v>2017</v>
      </c>
      <c r="N10" s="214">
        <f t="shared" si="0"/>
        <v>6</v>
      </c>
      <c r="R10" s="216"/>
    </row>
    <row r="11" spans="1:18" ht="12.75" x14ac:dyDescent="0.25">
      <c r="C11" s="221"/>
      <c r="D11" s="222"/>
      <c r="F11" s="231"/>
      <c r="G11" s="216">
        <v>4</v>
      </c>
      <c r="H11" s="221" t="s">
        <v>391</v>
      </c>
      <c r="I11" s="222">
        <f>HLOOKUP(CONCATENATE("lav",$D$6),linkage_aggregate_variables!$P$1:$AA$25,parameters!G11,0)</f>
        <v>-4.6192151642489132E-2</v>
      </c>
      <c r="M11" s="233"/>
      <c r="R11" s="216"/>
    </row>
    <row r="12" spans="1:18" ht="12.75" x14ac:dyDescent="0.25">
      <c r="C12" s="229" t="s">
        <v>123</v>
      </c>
      <c r="D12" s="224"/>
      <c r="F12" s="231"/>
      <c r="G12" s="216">
        <v>5</v>
      </c>
      <c r="H12" s="221" t="s">
        <v>392</v>
      </c>
      <c r="I12" s="222">
        <f>HLOOKUP(CONCATENATE("lav",$D$6),linkage_aggregate_variables!$P$1:$AA$25,parameters!G12,0)</f>
        <v>-4.9745394076526894E-3</v>
      </c>
      <c r="M12" s="233"/>
      <c r="R12" s="216"/>
    </row>
    <row r="13" spans="1:18" ht="12.75" x14ac:dyDescent="0.25">
      <c r="B13" s="216">
        <v>15</v>
      </c>
      <c r="C13" s="225" t="s">
        <v>29</v>
      </c>
      <c r="D13" s="222">
        <f>HLOOKUP(CONCATENATE("lav",$D$6),linkage_aggregate_variables!$P$1:$AA$25,parameters!B13,0)</f>
        <v>-2.811961645726857E-2</v>
      </c>
      <c r="F13" s="231"/>
      <c r="G13" s="216">
        <v>6</v>
      </c>
      <c r="H13" s="221" t="s">
        <v>403</v>
      </c>
      <c r="I13" s="222">
        <f>HLOOKUP(CONCATENATE("lav",$D$6),linkage_aggregate_variables!$P$1:$AA$25,parameters!G13,0)</f>
        <v>-7.4904072755167528E-3</v>
      </c>
      <c r="M13" s="233">
        <v>2018</v>
      </c>
      <c r="N13" s="214">
        <f>N10+1</f>
        <v>7</v>
      </c>
      <c r="R13" s="216"/>
    </row>
    <row r="14" spans="1:18" ht="12.75" x14ac:dyDescent="0.25">
      <c r="B14" s="216">
        <v>16</v>
      </c>
      <c r="C14" s="225" t="s">
        <v>385</v>
      </c>
      <c r="D14" s="222">
        <f>HLOOKUP(CONCATENATE("lav",$D$6),linkage_aggregate_variables!$P$1:$AA$25,parameters!B14,0)</f>
        <v>-2.8119616457268459E-2</v>
      </c>
      <c r="F14" s="231"/>
      <c r="G14" s="216">
        <v>7</v>
      </c>
      <c r="H14" s="221" t="s">
        <v>393</v>
      </c>
      <c r="I14" s="222">
        <f>HLOOKUP(CONCATENATE("lav",$D$6),linkage_aggregate_variables!$P$1:$AA$25,parameters!G14,0)</f>
        <v>-1.7023652898902064E-3</v>
      </c>
      <c r="M14" s="233">
        <v>2019</v>
      </c>
      <c r="N14" s="214">
        <f t="shared" si="0"/>
        <v>8</v>
      </c>
      <c r="P14" s="234"/>
      <c r="R14" s="216"/>
    </row>
    <row r="15" spans="1:18" ht="12.75" x14ac:dyDescent="0.25">
      <c r="B15" s="216">
        <v>17</v>
      </c>
      <c r="C15" s="225" t="s">
        <v>402</v>
      </c>
      <c r="D15" s="222">
        <f>HLOOKUP(CONCATENATE("lav",$D$6),linkage_aggregate_variables!$P$1:$AA$25,parameters!B15,0)</f>
        <v>-8.1903878876898872E-4</v>
      </c>
      <c r="F15" s="231"/>
      <c r="G15" s="216">
        <v>8</v>
      </c>
      <c r="H15" s="221" t="s">
        <v>395</v>
      </c>
      <c r="I15" s="222">
        <f>HLOOKUP(CONCATENATE("lav",$D$6),linkage_aggregate_variables!$P$1:$AA$25,parameters!G15,0)</f>
        <v>-4.0161824223762244E-3</v>
      </c>
      <c r="M15" s="233">
        <v>2020</v>
      </c>
      <c r="N15" s="214">
        <f t="shared" si="0"/>
        <v>9</v>
      </c>
      <c r="P15" s="234"/>
      <c r="R15" s="216"/>
    </row>
    <row r="16" spans="1:18" ht="12.75" x14ac:dyDescent="0.25">
      <c r="B16" s="216">
        <v>18</v>
      </c>
      <c r="C16" s="225" t="s">
        <v>386</v>
      </c>
      <c r="D16" s="222">
        <f>HLOOKUP(CONCATENATE("lav",$D$6),linkage_aggregate_variables!$P$1:$AA$25,parameters!B16,0)</f>
        <v>2.4936634431494964E-2</v>
      </c>
      <c r="F16" s="231"/>
      <c r="G16" s="216">
        <v>9</v>
      </c>
      <c r="H16" s="221" t="s">
        <v>396</v>
      </c>
      <c r="I16" s="222">
        <f>HLOOKUP(CONCATENATE("lav",$D$6),linkage_aggregate_variables!$P$1:$AA$25,parameters!G16,0)</f>
        <v>3.3714392206769972E-2</v>
      </c>
      <c r="M16" s="233">
        <v>2021</v>
      </c>
      <c r="N16" s="214">
        <f>N15+1</f>
        <v>10</v>
      </c>
      <c r="P16" s="234"/>
      <c r="R16" s="216"/>
    </row>
    <row r="17" spans="2:18" ht="12.75" x14ac:dyDescent="0.25">
      <c r="B17" s="216">
        <v>19</v>
      </c>
      <c r="C17" s="225" t="s">
        <v>387</v>
      </c>
      <c r="D17" s="222">
        <f>HLOOKUP(CONCATENATE("lav",$D$6),linkage_aggregate_variables!$P$1:$AA$25,parameters!B17,0)</f>
        <v>2.1801324463161187E-2</v>
      </c>
      <c r="F17" s="231"/>
      <c r="G17" s="216">
        <v>10</v>
      </c>
      <c r="H17" s="221" t="s">
        <v>397</v>
      </c>
      <c r="I17" s="222">
        <f>HLOOKUP(CONCATENATE("lav",$D$6),linkage_aggregate_variables!$P$1:$AA$25,parameters!G17,0)</f>
        <v>8.367331362803121E-2</v>
      </c>
      <c r="M17" s="233">
        <v>2022</v>
      </c>
      <c r="N17" s="214">
        <f t="shared" si="0"/>
        <v>11</v>
      </c>
      <c r="P17" s="234"/>
      <c r="R17" s="216"/>
    </row>
    <row r="18" spans="2:18" ht="12.75" x14ac:dyDescent="0.25">
      <c r="B18" s="216">
        <v>20</v>
      </c>
      <c r="C18" s="225" t="s">
        <v>388</v>
      </c>
      <c r="D18" s="222">
        <f>HLOOKUP(CONCATENATE("lav",$D$6),linkage_aggregate_variables!$P$1:$AA$25,parameters!B18,0)</f>
        <v>8.5645417414106362E-3</v>
      </c>
      <c r="F18" s="231"/>
      <c r="G18" s="216">
        <v>11</v>
      </c>
      <c r="H18" s="221" t="s">
        <v>398</v>
      </c>
      <c r="I18" s="222">
        <f>HLOOKUP(CONCATENATE("lav",$D$6),linkage_aggregate_variables!$P$1:$AA$25,parameters!G18,0)</f>
        <v>5.3712425094595506E-2</v>
      </c>
      <c r="M18" s="233">
        <v>2023</v>
      </c>
      <c r="N18" s="214">
        <f t="shared" si="0"/>
        <v>12</v>
      </c>
      <c r="P18" s="234"/>
      <c r="R18" s="216"/>
    </row>
    <row r="19" spans="2:18" ht="12.75" x14ac:dyDescent="0.25">
      <c r="B19" s="216">
        <v>21</v>
      </c>
      <c r="C19" s="225" t="s">
        <v>213</v>
      </c>
      <c r="D19" s="222">
        <f>HLOOKUP(CONCATENATE("lav",$D$6),linkage_aggregate_variables!$P$1:$AA$25,parameters!B19,0)</f>
        <v>0</v>
      </c>
      <c r="F19" s="231"/>
      <c r="G19" s="216">
        <v>12</v>
      </c>
      <c r="H19" s="221" t="s">
        <v>399</v>
      </c>
      <c r="I19" s="222">
        <f>HLOOKUP(CONCATENATE("lav",$D$6),linkage_aggregate_variables!$P$1:$AA$25,parameters!G19,0)</f>
        <v>5.775115855083901E-2</v>
      </c>
      <c r="M19" s="233">
        <v>2024</v>
      </c>
      <c r="P19" s="234"/>
      <c r="R19" s="216"/>
    </row>
    <row r="20" spans="2:18" ht="12.75" x14ac:dyDescent="0.25">
      <c r="C20" s="225"/>
      <c r="D20" s="222"/>
      <c r="F20" s="231"/>
      <c r="G20" s="216">
        <v>13</v>
      </c>
      <c r="H20" s="221" t="s">
        <v>400</v>
      </c>
      <c r="I20" s="222">
        <f>HLOOKUP(CONCATENATE("lav",$D$6),linkage_aggregate_variables!$P$1:$AA$25,parameters!G20,0)</f>
        <v>-1.7783120699564448E-2</v>
      </c>
      <c r="M20" s="214">
        <v>2025</v>
      </c>
      <c r="R20" s="216"/>
    </row>
    <row r="21" spans="2:18" ht="12.75" x14ac:dyDescent="0.25">
      <c r="C21" s="229" t="s">
        <v>336</v>
      </c>
      <c r="D21" s="222"/>
      <c r="F21" s="231"/>
      <c r="G21" s="216">
        <v>14</v>
      </c>
      <c r="H21" s="221" t="s">
        <v>334</v>
      </c>
      <c r="I21" s="222">
        <f>HLOOKUP(CONCATENATE("lav",$D$6),linkage_aggregate_variables!$P$1:$AA$25,parameters!G21,0)</f>
        <v>-0.11077536753801531</v>
      </c>
      <c r="M21" s="214">
        <v>2026</v>
      </c>
      <c r="R21" s="216"/>
    </row>
    <row r="22" spans="2:18" ht="12.75" x14ac:dyDescent="0.25">
      <c r="B22" s="216">
        <v>24</v>
      </c>
      <c r="C22" s="221" t="s">
        <v>390</v>
      </c>
      <c r="D22" s="222">
        <f>HLOOKUP(CONCATENATE("lav",$D$6),linkage_aggregate_variables!$P$1:$AA$25,parameters!B22,0)</f>
        <v>2.7532275120198957E-2</v>
      </c>
      <c r="F22" s="231"/>
      <c r="R22" s="216"/>
    </row>
    <row r="23" spans="2:18" ht="12.75" x14ac:dyDescent="0.25">
      <c r="B23" s="216">
        <v>25</v>
      </c>
      <c r="C23" s="221" t="s">
        <v>389</v>
      </c>
      <c r="D23" s="222">
        <f>HLOOKUP(CONCATENATE("lav",$D$6),linkage_aggregate_variables!$P$1:$AA$25,parameters!B23,0)</f>
        <v>5.7751090753483725E-2</v>
      </c>
      <c r="F23" s="231"/>
      <c r="G23" s="643" t="s">
        <v>335</v>
      </c>
      <c r="H23" s="643"/>
      <c r="I23" s="643"/>
      <c r="J23" s="643"/>
      <c r="M23" s="214" t="s">
        <v>326</v>
      </c>
      <c r="R23" s="216"/>
    </row>
    <row r="24" spans="2:18" ht="12.75" x14ac:dyDescent="0.25">
      <c r="B24" s="216">
        <v>26</v>
      </c>
      <c r="C24" s="221" t="s">
        <v>391</v>
      </c>
      <c r="D24" s="222" t="e">
        <f>HLOOKUP(CONCATENATE("lav",$D$6),linkage_aggregate_variables!$P$1:$AA$25,parameters!B24,0)</f>
        <v>#REF!</v>
      </c>
      <c r="F24" s="231"/>
      <c r="G24" s="216">
        <v>42</v>
      </c>
      <c r="H24" s="223" t="s">
        <v>262</v>
      </c>
      <c r="I24" s="222" t="e">
        <f>HLOOKUP(CONCATENATE("lav",$D$6),linkage_aggregate_variables!$P$1:$AA$25,parameters!G24,0)</f>
        <v>#REF!</v>
      </c>
      <c r="J24" s="214"/>
      <c r="R24" s="216"/>
    </row>
    <row r="25" spans="2:18" ht="12.75" x14ac:dyDescent="0.25">
      <c r="B25" s="216">
        <v>27</v>
      </c>
      <c r="C25" s="221" t="s">
        <v>392</v>
      </c>
      <c r="D25" s="222" t="e">
        <f>HLOOKUP(CONCATENATE("lav",$D$6),linkage_aggregate_variables!$P$1:$AA$25,parameters!B25,0)</f>
        <v>#REF!</v>
      </c>
      <c r="F25" s="231"/>
      <c r="G25" s="216">
        <v>43</v>
      </c>
      <c r="H25" s="223" t="s">
        <v>337</v>
      </c>
      <c r="I25" s="222" t="e">
        <f>HLOOKUP(CONCATENATE("lav",$D$6),linkage_aggregate_variables!$P$1:$AA$25,parameters!G25,0)</f>
        <v>#REF!</v>
      </c>
      <c r="J25" s="214"/>
      <c r="R25" s="216"/>
    </row>
    <row r="26" spans="2:18" ht="12.75" x14ac:dyDescent="0.25">
      <c r="B26" s="216">
        <v>28</v>
      </c>
      <c r="C26" s="221" t="s">
        <v>403</v>
      </c>
      <c r="D26" s="222" t="e">
        <f>HLOOKUP(CONCATENATE("lav",$D$6),linkage_aggregate_variables!$P$1:$AA$25,parameters!B26,0)</f>
        <v>#REF!</v>
      </c>
      <c r="F26" s="231"/>
      <c r="G26" s="216">
        <v>43</v>
      </c>
      <c r="H26" s="223" t="s">
        <v>338</v>
      </c>
      <c r="I26" s="222" t="e">
        <f>HLOOKUP(CONCATENATE("lav",$D$6),linkage_aggregate_variables!$P$1:$AA$25,parameters!G26,0)</f>
        <v>#REF!</v>
      </c>
      <c r="J26" s="214"/>
      <c r="M26" s="214" t="s">
        <v>324</v>
      </c>
      <c r="R26" s="216"/>
    </row>
    <row r="27" spans="2:18" ht="12.75" x14ac:dyDescent="0.25">
      <c r="B27" s="216">
        <v>29</v>
      </c>
      <c r="C27" s="221" t="s">
        <v>393</v>
      </c>
      <c r="D27" s="222" t="e">
        <f>HLOOKUP(CONCATENATE("lav",$D$6),linkage_aggregate_variables!$P$1:$AA$25,parameters!B27,0)</f>
        <v>#REF!</v>
      </c>
      <c r="F27" s="231"/>
      <c r="H27" s="223"/>
      <c r="I27" s="222"/>
      <c r="J27" s="214"/>
      <c r="R27" s="216"/>
    </row>
    <row r="28" spans="2:18" ht="12.75" x14ac:dyDescent="0.25">
      <c r="B28" s="216">
        <v>30</v>
      </c>
      <c r="C28" s="221" t="s">
        <v>395</v>
      </c>
      <c r="D28" s="222" t="e">
        <f>HLOOKUP(CONCATENATE("lav",$D$6),linkage_aggregate_variables!$P$1:$AA$25,parameters!B28,0)</f>
        <v>#REF!</v>
      </c>
      <c r="F28" s="231"/>
      <c r="H28" s="643" t="s">
        <v>595</v>
      </c>
      <c r="I28" s="643"/>
      <c r="J28" s="214"/>
      <c r="R28" s="216"/>
    </row>
    <row r="29" spans="2:18" ht="12.75" x14ac:dyDescent="0.25">
      <c r="B29" s="216">
        <v>31</v>
      </c>
      <c r="C29" s="221" t="s">
        <v>396</v>
      </c>
      <c r="D29" s="222" t="e">
        <f>HLOOKUP(CONCATENATE("lav",$D$6),linkage_aggregate_variables!$P$1:$AA$25,parameters!B29,0)</f>
        <v>#REF!</v>
      </c>
      <c r="F29" s="231"/>
      <c r="G29" s="216">
        <v>44</v>
      </c>
      <c r="H29" s="223" t="s">
        <v>599</v>
      </c>
      <c r="I29" s="222"/>
      <c r="J29" s="214"/>
      <c r="R29" s="216"/>
    </row>
    <row r="30" spans="2:18" ht="12.75" x14ac:dyDescent="0.25">
      <c r="B30" s="216">
        <v>32</v>
      </c>
      <c r="C30" s="221" t="s">
        <v>397</v>
      </c>
      <c r="D30" s="222" t="e">
        <f>HLOOKUP(CONCATENATE("lav",$D$6),linkage_aggregate_variables!$P$1:$AA$25,parameters!B30,0)</f>
        <v>#REF!</v>
      </c>
      <c r="F30" s="231"/>
      <c r="G30" s="216">
        <v>45</v>
      </c>
      <c r="H30" s="223" t="s">
        <v>600</v>
      </c>
      <c r="I30" s="222"/>
      <c r="J30" s="214"/>
      <c r="R30" s="216"/>
    </row>
    <row r="31" spans="2:18" ht="12.75" x14ac:dyDescent="0.25">
      <c r="B31" s="216">
        <v>33</v>
      </c>
      <c r="C31" s="221" t="s">
        <v>398</v>
      </c>
      <c r="D31" s="222" t="e">
        <f>HLOOKUP(CONCATENATE("lav",$D$6),linkage_aggregate_variables!$P$1:$AA$25,parameters!B31,0)</f>
        <v>#REF!</v>
      </c>
      <c r="F31" s="231"/>
      <c r="G31" s="216">
        <v>46</v>
      </c>
      <c r="H31" s="223" t="s">
        <v>596</v>
      </c>
      <c r="I31" s="222"/>
      <c r="J31" s="214"/>
      <c r="R31" s="216"/>
    </row>
    <row r="32" spans="2:18" ht="12.75" x14ac:dyDescent="0.25">
      <c r="B32" s="216">
        <v>34</v>
      </c>
      <c r="C32" s="221" t="s">
        <v>399</v>
      </c>
      <c r="D32" s="222" t="e">
        <f>HLOOKUP(CONCATENATE("lav",$D$6),linkage_aggregate_variables!$P$1:$AA$25,parameters!B32,0)</f>
        <v>#REF!</v>
      </c>
      <c r="F32" s="231"/>
      <c r="H32" s="223"/>
      <c r="I32" s="222"/>
      <c r="J32" s="214"/>
      <c r="R32" s="216"/>
    </row>
    <row r="33" spans="2:10" ht="12.75" x14ac:dyDescent="0.25">
      <c r="B33" s="216">
        <v>35</v>
      </c>
      <c r="C33" s="221" t="s">
        <v>400</v>
      </c>
      <c r="D33" s="222" t="e">
        <f>HLOOKUP(CONCATENATE("lav",$D$6),linkage_aggregate_variables!$P$1:$AA$25,parameters!B33,0)</f>
        <v>#REF!</v>
      </c>
      <c r="F33" s="231"/>
      <c r="H33" s="643" t="s">
        <v>598</v>
      </c>
      <c r="I33" s="643"/>
      <c r="J33" s="214"/>
    </row>
    <row r="34" spans="2:10" ht="12.75" x14ac:dyDescent="0.25">
      <c r="C34" s="221"/>
      <c r="D34" s="222"/>
      <c r="F34" s="231"/>
      <c r="G34" s="216">
        <v>47</v>
      </c>
      <c r="H34" s="223" t="s">
        <v>597</v>
      </c>
      <c r="I34" s="222"/>
      <c r="J34" s="214"/>
    </row>
    <row r="35" spans="2:10" ht="12.75" x14ac:dyDescent="0.25">
      <c r="C35" s="221"/>
      <c r="D35" s="222"/>
      <c r="F35" s="231"/>
      <c r="H35" s="223"/>
      <c r="I35" s="226"/>
      <c r="J35" s="214"/>
    </row>
    <row r="36" spans="2:10" ht="12.75" x14ac:dyDescent="0.25">
      <c r="C36" s="229" t="s">
        <v>35</v>
      </c>
      <c r="D36" s="222"/>
      <c r="F36" s="231"/>
      <c r="H36" s="486" t="s">
        <v>339</v>
      </c>
      <c r="I36" s="486"/>
      <c r="J36" s="486"/>
    </row>
    <row r="37" spans="2:10" ht="12.75" x14ac:dyDescent="0.25">
      <c r="B37" s="216">
        <v>36</v>
      </c>
      <c r="C37" s="225" t="s">
        <v>29</v>
      </c>
      <c r="D37" s="222" t="e">
        <f>HLOOKUP(CONCATENATE("lav",$D$6),linkage_aggregate_variables!$P$1:$AA$25,parameters!B37,0)</f>
        <v>#REF!</v>
      </c>
      <c r="F37" s="231"/>
      <c r="G37" s="216">
        <v>48</v>
      </c>
      <c r="H37" s="214" t="s">
        <v>340</v>
      </c>
      <c r="I37" s="232" t="e">
        <f>HLOOKUP(CONCATENATE("value",$D$6),linkage_aggregate_variables!$B$1:$AA$33,parameters!G37,0)</f>
        <v>#REF!</v>
      </c>
      <c r="J37" s="455"/>
    </row>
    <row r="38" spans="2:10" ht="12.75" x14ac:dyDescent="0.25">
      <c r="B38" s="216">
        <v>37</v>
      </c>
      <c r="C38" s="225" t="s">
        <v>385</v>
      </c>
      <c r="D38" s="222" t="e">
        <f>HLOOKUP(CONCATENATE("lav",$D$6),linkage_aggregate_variables!$P$1:$AA$25,parameters!B38,0)</f>
        <v>#REF!</v>
      </c>
      <c r="F38" s="231"/>
      <c r="H38" s="220"/>
    </row>
    <row r="39" spans="2:10" ht="12.75" x14ac:dyDescent="0.25">
      <c r="B39" s="216">
        <v>38</v>
      </c>
      <c r="C39" s="225" t="s">
        <v>402</v>
      </c>
      <c r="D39" s="222" t="e">
        <f>HLOOKUP(CONCATENATE("lav",$D$6),linkage_aggregate_variables!$P$1:$AA$25,parameters!B39,0)</f>
        <v>#REF!</v>
      </c>
      <c r="F39" s="231"/>
      <c r="G39" s="231"/>
      <c r="H39" s="220"/>
    </row>
    <row r="40" spans="2:10" ht="12.75" x14ac:dyDescent="0.25">
      <c r="B40" s="216">
        <v>39</v>
      </c>
      <c r="C40" s="225" t="s">
        <v>386</v>
      </c>
      <c r="D40" s="222" t="e">
        <f>HLOOKUP(CONCATENATE("lav",$D$6),linkage_aggregate_variables!$P$1:$AA$25,parameters!B40,0)</f>
        <v>#REF!</v>
      </c>
      <c r="F40" s="231"/>
      <c r="G40" s="231"/>
      <c r="H40" s="227"/>
      <c r="I40" s="222"/>
    </row>
    <row r="41" spans="2:10" ht="12.75" x14ac:dyDescent="0.25">
      <c r="B41" s="216">
        <v>40</v>
      </c>
      <c r="C41" s="225" t="s">
        <v>387</v>
      </c>
      <c r="D41" s="222" t="e">
        <f>HLOOKUP(CONCATENATE("lav",$D$6),linkage_aggregate_variables!$P$1:$AA$25,parameters!B41,0)</f>
        <v>#REF!</v>
      </c>
      <c r="F41" s="231"/>
      <c r="G41" s="231"/>
      <c r="H41" s="227"/>
      <c r="I41" s="222"/>
    </row>
    <row r="42" spans="2:10" ht="12.75" x14ac:dyDescent="0.25">
      <c r="B42" s="216">
        <v>41</v>
      </c>
      <c r="C42" s="225" t="s">
        <v>388</v>
      </c>
      <c r="D42" s="222" t="e">
        <f>HLOOKUP(CONCATENATE("lav",$D$6),linkage_aggregate_variables!$P$1:$AA$25,parameters!B42,0)</f>
        <v>#REF!</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331</v>
      </c>
      <c r="F55" s="231"/>
      <c r="G55" s="214"/>
    </row>
    <row r="56" spans="2:9" ht="12.75" hidden="1" x14ac:dyDescent="0.25">
      <c r="C56" s="217" t="s">
        <v>147</v>
      </c>
      <c r="F56" s="231"/>
    </row>
    <row r="57" spans="2:9" ht="12.75" hidden="1" x14ac:dyDescent="0.25">
      <c r="C57" s="217" t="s">
        <v>148</v>
      </c>
      <c r="F57" s="231"/>
    </row>
    <row r="58" spans="2:9" ht="12.75" hidden="1" x14ac:dyDescent="0.25">
      <c r="C58" s="217" t="s">
        <v>332</v>
      </c>
      <c r="F58" s="231"/>
    </row>
    <row r="59" spans="2:9" ht="12.95" hidden="1" customHeight="1" x14ac:dyDescent="0.25">
      <c r="C59" s="218" t="s">
        <v>333</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44"/>
  <sheetViews>
    <sheetView zoomScale="115" zoomScaleNormal="115" workbookViewId="0">
      <selection activeCell="A13" sqref="A13:A14"/>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16" width="14.5703125" style="254" customWidth="1"/>
    <col min="17"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341</v>
      </c>
      <c r="B1" s="64" t="s">
        <v>563</v>
      </c>
      <c r="C1" s="64" t="s">
        <v>562</v>
      </c>
      <c r="D1" s="64" t="s">
        <v>564</v>
      </c>
      <c r="E1" s="64" t="s">
        <v>565</v>
      </c>
      <c r="F1" s="64" t="s">
        <v>566</v>
      </c>
      <c r="G1" s="64" t="s">
        <v>567</v>
      </c>
      <c r="H1" s="64" t="s">
        <v>568</v>
      </c>
      <c r="I1" s="64" t="s">
        <v>569</v>
      </c>
      <c r="J1" s="64" t="s">
        <v>570</v>
      </c>
      <c r="K1" s="64" t="s">
        <v>571</v>
      </c>
      <c r="L1" s="64" t="s">
        <v>572</v>
      </c>
      <c r="M1" s="64" t="s">
        <v>573</v>
      </c>
      <c r="N1" s="64" t="s">
        <v>574</v>
      </c>
      <c r="O1" s="270"/>
      <c r="P1" s="277" t="s">
        <v>575</v>
      </c>
      <c r="Q1" s="277" t="s">
        <v>576</v>
      </c>
      <c r="R1" s="277" t="s">
        <v>577</v>
      </c>
      <c r="S1" s="277" t="s">
        <v>578</v>
      </c>
      <c r="T1" s="277" t="s">
        <v>579</v>
      </c>
      <c r="U1" s="277" t="s">
        <v>580</v>
      </c>
      <c r="V1" s="277" t="s">
        <v>581</v>
      </c>
      <c r="W1" s="277" t="s">
        <v>582</v>
      </c>
      <c r="X1" s="277" t="s">
        <v>583</v>
      </c>
      <c r="Y1" s="277" t="s">
        <v>584</v>
      </c>
      <c r="Z1" s="277" t="s">
        <v>585</v>
      </c>
      <c r="AA1" s="277" t="s">
        <v>586</v>
      </c>
      <c r="AB1" s="22"/>
      <c r="AC1" s="278" t="s">
        <v>132</v>
      </c>
      <c r="AD1" s="278">
        <f>'0. GUIDELINES'!E4</f>
        <v>2022</v>
      </c>
      <c r="AE1" s="279">
        <v>1</v>
      </c>
    </row>
    <row r="2" spans="1:31" x14ac:dyDescent="0.2">
      <c r="A2" s="217" t="s">
        <v>537</v>
      </c>
      <c r="B2" s="253" t="e">
        <f>'2.2 LABOR INCOME &amp; PRODUCTIVITY'!R21</f>
        <v>#N/A</v>
      </c>
      <c r="C2" s="253" t="e">
        <f>'2.2 LABOR INCOME &amp; PRODUCTIVITY'!S21</f>
        <v>#N/A</v>
      </c>
      <c r="D2" s="253">
        <f>'2.2 LABOR INCOME &amp; PRODUCTIVITY'!T21</f>
        <v>179.61456298828125</v>
      </c>
      <c r="E2" s="253" t="e">
        <f>'2.2 LABOR INCOME &amp; PRODUCTIVITY'!U21</f>
        <v>#N/A</v>
      </c>
      <c r="F2" s="253" t="e">
        <f>'2.2 LABOR INCOME &amp; PRODUCTIVITY'!V21</f>
        <v>#N/A</v>
      </c>
      <c r="G2" s="253" t="e">
        <f>'2.2 LABOR INCOME &amp; PRODUCTIVITY'!W21</f>
        <v>#N/A</v>
      </c>
      <c r="H2" s="253" t="e">
        <f>'2.2 LABOR INCOME &amp; PRODUCTIVITY'!X21</f>
        <v>#N/A</v>
      </c>
      <c r="I2" s="253" t="e">
        <f>'2.2 LABOR INCOME &amp; PRODUCTIVITY'!Y21</f>
        <v>#N/A</v>
      </c>
      <c r="J2" s="253">
        <f>'2.2 LABOR INCOME &amp; PRODUCTIVITY'!Z21</f>
        <v>293.2978515625</v>
      </c>
      <c r="K2" s="253">
        <f>'2.2 LABOR INCOME &amp; PRODUCTIVITY'!AA21</f>
        <v>272.34867404812741</v>
      </c>
      <c r="L2" s="253">
        <f>'2.2 LABOR INCOME &amp; PRODUCTIVITY'!AB21</f>
        <v>268.56189039061752</v>
      </c>
      <c r="M2" s="253">
        <f>'2.2 LABOR INCOME &amp; PRODUCTIVITY'!AC21</f>
        <v>269.06688834826809</v>
      </c>
      <c r="N2" s="253">
        <f>'2.2 LABOR INCOME &amp; PRODUCTIVITY'!AD21</f>
        <v>274.14241769966162</v>
      </c>
      <c r="O2" s="271"/>
      <c r="P2" s="222" t="e">
        <f>C2/$AC2-1</f>
        <v>#N/A</v>
      </c>
      <c r="Q2" s="222">
        <f t="shared" ref="Q2:AA8" si="0">D2/$AC2-1</f>
        <v>-0.38760355034511229</v>
      </c>
      <c r="R2" s="222" t="e">
        <f t="shared" si="0"/>
        <v>#N/A</v>
      </c>
      <c r="S2" s="222" t="e">
        <f t="shared" si="0"/>
        <v>#N/A</v>
      </c>
      <c r="T2" s="222" t="e">
        <f t="shared" si="0"/>
        <v>#N/A</v>
      </c>
      <c r="U2" s="222" t="e">
        <f t="shared" si="0"/>
        <v>#N/A</v>
      </c>
      <c r="V2" s="222" t="e">
        <f t="shared" si="0"/>
        <v>#N/A</v>
      </c>
      <c r="W2" s="222">
        <f t="shared" si="0"/>
        <v>0</v>
      </c>
      <c r="X2" s="222">
        <f t="shared" si="0"/>
        <v>-7.1426290382861746E-2</v>
      </c>
      <c r="Y2" s="222">
        <f t="shared" si="0"/>
        <v>-8.4337341852677716E-2</v>
      </c>
      <c r="Z2" s="222">
        <f t="shared" si="0"/>
        <v>-8.2615549637152452E-2</v>
      </c>
      <c r="AA2" s="222">
        <f t="shared" si="0"/>
        <v>-6.5310515439477967E-2</v>
      </c>
      <c r="AC2" s="253">
        <f t="shared" ref="AC2:AC28" si="1">HLOOKUP(CONCATENATE("value",$AD$1),B:N, $AE2, 0)</f>
        <v>293.2978515625</v>
      </c>
      <c r="AE2" s="279">
        <v>2</v>
      </c>
    </row>
    <row r="3" spans="1:31" x14ac:dyDescent="0.2">
      <c r="A3" s="217" t="s">
        <v>538</v>
      </c>
      <c r="B3" s="253" t="e">
        <f>'2.2 LABOR INCOME &amp; PRODUCTIVITY'!R22</f>
        <v>#N/A</v>
      </c>
      <c r="C3" s="253" t="e">
        <f>'2.2 LABOR INCOME &amp; PRODUCTIVITY'!S22</f>
        <v>#N/A</v>
      </c>
      <c r="D3" s="253">
        <f>'2.2 LABOR INCOME &amp; PRODUCTIVITY'!T22</f>
        <v>211.47543334960938</v>
      </c>
      <c r="E3" s="253" t="e">
        <f>'2.2 LABOR INCOME &amp; PRODUCTIVITY'!U22</f>
        <v>#N/A</v>
      </c>
      <c r="F3" s="253" t="e">
        <f>'2.2 LABOR INCOME &amp; PRODUCTIVITY'!V22</f>
        <v>#N/A</v>
      </c>
      <c r="G3" s="253" t="e">
        <f>'2.2 LABOR INCOME &amp; PRODUCTIVITY'!W22</f>
        <v>#N/A</v>
      </c>
      <c r="H3" s="253" t="e">
        <f>'2.2 LABOR INCOME &amp; PRODUCTIVITY'!X22</f>
        <v>#N/A</v>
      </c>
      <c r="I3" s="253" t="e">
        <f>'2.2 LABOR INCOME &amp; PRODUCTIVITY'!Y22</f>
        <v>#N/A</v>
      </c>
      <c r="J3" s="253">
        <f>'2.2 LABOR INCOME &amp; PRODUCTIVITY'!Z22</f>
        <v>395.90869140625</v>
      </c>
      <c r="K3" s="253">
        <f>'2.2 LABOR INCOME &amp; PRODUCTIVITY'!AA22</f>
        <v>403.09808695476227</v>
      </c>
      <c r="L3" s="253">
        <f>'2.2 LABOR INCOME &amp; PRODUCTIVITY'!AB22</f>
        <v>404.96540070159961</v>
      </c>
      <c r="M3" s="253">
        <f>'2.2 LABOR INCOME &amp; PRODUCTIVITY'!AC22</f>
        <v>407.24986518733886</v>
      </c>
      <c r="N3" s="253">
        <f>'2.2 LABOR INCOME &amp; PRODUCTIVITY'!AD22</f>
        <v>410.13066648659691</v>
      </c>
      <c r="O3" s="271"/>
      <c r="P3" s="222" t="e">
        <f t="shared" ref="P3:P8" si="2">C3/$AC3-1</f>
        <v>#N/A</v>
      </c>
      <c r="Q3" s="222">
        <f t="shared" si="0"/>
        <v>-0.46584796459391165</v>
      </c>
      <c r="R3" s="222" t="e">
        <f t="shared" si="0"/>
        <v>#N/A</v>
      </c>
      <c r="S3" s="222" t="e">
        <f t="shared" si="0"/>
        <v>#N/A</v>
      </c>
      <c r="T3" s="222" t="e">
        <f t="shared" si="0"/>
        <v>#N/A</v>
      </c>
      <c r="U3" s="222" t="e">
        <f t="shared" si="0"/>
        <v>#N/A</v>
      </c>
      <c r="V3" s="222" t="e">
        <f t="shared" si="0"/>
        <v>#N/A</v>
      </c>
      <c r="W3" s="222">
        <f t="shared" si="0"/>
        <v>0</v>
      </c>
      <c r="X3" s="222">
        <f t="shared" si="0"/>
        <v>1.8159226368524184E-2</v>
      </c>
      <c r="Y3" s="222">
        <f t="shared" si="0"/>
        <v>2.2875752646855485E-2</v>
      </c>
      <c r="Z3" s="222">
        <f t="shared" si="0"/>
        <v>2.8645932830636989E-2</v>
      </c>
      <c r="AA3" s="222">
        <f t="shared" si="0"/>
        <v>3.5922361365271049E-2</v>
      </c>
      <c r="AC3" s="253">
        <f t="shared" si="1"/>
        <v>395.90869140625</v>
      </c>
      <c r="AE3" s="279">
        <v>3</v>
      </c>
    </row>
    <row r="4" spans="1:31" x14ac:dyDescent="0.2">
      <c r="A4" s="217" t="s">
        <v>539</v>
      </c>
      <c r="B4" s="253" t="e">
        <f>'2.2 LABOR INCOME &amp; PRODUCTIVITY'!R23</f>
        <v>#N/A</v>
      </c>
      <c r="C4" s="253" t="e">
        <f>'2.2 LABOR INCOME &amp; PRODUCTIVITY'!S23</f>
        <v>#N/A</v>
      </c>
      <c r="D4" s="253">
        <f>'2.2 LABOR INCOME &amp; PRODUCTIVITY'!T23</f>
        <v>287.7081298828125</v>
      </c>
      <c r="E4" s="253" t="e">
        <f>'2.2 LABOR INCOME &amp; PRODUCTIVITY'!U23</f>
        <v>#N/A</v>
      </c>
      <c r="F4" s="253" t="e">
        <f>'2.2 LABOR INCOME &amp; PRODUCTIVITY'!V23</f>
        <v>#N/A</v>
      </c>
      <c r="G4" s="253" t="e">
        <f>'2.2 LABOR INCOME &amp; PRODUCTIVITY'!W23</f>
        <v>#N/A</v>
      </c>
      <c r="H4" s="253" t="e">
        <f>'2.2 LABOR INCOME &amp; PRODUCTIVITY'!X23</f>
        <v>#N/A</v>
      </c>
      <c r="I4" s="253" t="e">
        <f>'2.2 LABOR INCOME &amp; PRODUCTIVITY'!Y23</f>
        <v>#N/A</v>
      </c>
      <c r="J4" s="253">
        <f>'2.2 LABOR INCOME &amp; PRODUCTIVITY'!Z23</f>
        <v>614.328125</v>
      </c>
      <c r="K4" s="253">
        <f>'2.2 LABOR INCOME &amp; PRODUCTIVITY'!AA23</f>
        <v>585.95098709175397</v>
      </c>
      <c r="L4" s="253">
        <f>'2.2 LABOR INCOME &amp; PRODUCTIVITY'!AB23</f>
        <v>572.46496160000243</v>
      </c>
      <c r="M4" s="253">
        <f>'2.2 LABOR INCOME &amp; PRODUCTIVITY'!AC23</f>
        <v>574.99723029893744</v>
      </c>
      <c r="N4" s="253">
        <f>'2.2 LABOR INCOME &amp; PRODUCTIVITY'!AD23</f>
        <v>582.60832589272218</v>
      </c>
      <c r="O4" s="271"/>
      <c r="P4" s="222" t="e">
        <f t="shared" si="2"/>
        <v>#N/A</v>
      </c>
      <c r="Q4" s="222">
        <f t="shared" si="0"/>
        <v>-0.53167026190960653</v>
      </c>
      <c r="R4" s="222" t="e">
        <f t="shared" si="0"/>
        <v>#N/A</v>
      </c>
      <c r="S4" s="222" t="e">
        <f t="shared" si="0"/>
        <v>#N/A</v>
      </c>
      <c r="T4" s="222" t="e">
        <f t="shared" si="0"/>
        <v>#N/A</v>
      </c>
      <c r="U4" s="222" t="e">
        <f t="shared" si="0"/>
        <v>#N/A</v>
      </c>
      <c r="V4" s="222" t="e">
        <f t="shared" si="0"/>
        <v>#N/A</v>
      </c>
      <c r="W4" s="222">
        <f t="shared" si="0"/>
        <v>0</v>
      </c>
      <c r="X4" s="222">
        <f t="shared" si="0"/>
        <v>-4.6192151642489132E-2</v>
      </c>
      <c r="Y4" s="222">
        <f t="shared" si="0"/>
        <v>-6.8144631014569912E-2</v>
      </c>
      <c r="Z4" s="222">
        <f t="shared" si="0"/>
        <v>-6.4022617719256436E-2</v>
      </c>
      <c r="AA4" s="222">
        <f t="shared" si="0"/>
        <v>-5.1633317467400408E-2</v>
      </c>
      <c r="AC4" s="253">
        <f t="shared" si="1"/>
        <v>614.328125</v>
      </c>
      <c r="AE4" s="279">
        <v>4</v>
      </c>
    </row>
    <row r="5" spans="1:31" x14ac:dyDescent="0.2">
      <c r="A5" s="217" t="s">
        <v>540</v>
      </c>
      <c r="B5" s="253" t="e">
        <f>'2.2 LABOR INCOME &amp; PRODUCTIVITY'!R24</f>
        <v>#N/A</v>
      </c>
      <c r="C5" s="253" t="e">
        <f>'2.2 LABOR INCOME &amp; PRODUCTIVITY'!S24</f>
        <v>#N/A</v>
      </c>
      <c r="D5" s="253">
        <f>'2.2 LABOR INCOME &amp; PRODUCTIVITY'!T24</f>
        <v>416.73294067382813</v>
      </c>
      <c r="E5" s="253" t="e">
        <f>'2.2 LABOR INCOME &amp; PRODUCTIVITY'!U24</f>
        <v>#N/A</v>
      </c>
      <c r="F5" s="253" t="e">
        <f>'2.2 LABOR INCOME &amp; PRODUCTIVITY'!V24</f>
        <v>#N/A</v>
      </c>
      <c r="G5" s="253" t="e">
        <f>'2.2 LABOR INCOME &amp; PRODUCTIVITY'!W24</f>
        <v>#N/A</v>
      </c>
      <c r="H5" s="253" t="e">
        <f>'2.2 LABOR INCOME &amp; PRODUCTIVITY'!X24</f>
        <v>#N/A</v>
      </c>
      <c r="I5" s="253" t="e">
        <f>'2.2 LABOR INCOME &amp; PRODUCTIVITY'!Y24</f>
        <v>#N/A</v>
      </c>
      <c r="J5" s="253">
        <f>'2.2 LABOR INCOME &amp; PRODUCTIVITY'!Z24</f>
        <v>866.3953857421875</v>
      </c>
      <c r="K5" s="253">
        <f>'2.2 LABOR INCOME &amp; PRODUCTIVITY'!AA24</f>
        <v>862.08546775320451</v>
      </c>
      <c r="L5" s="253">
        <f>'2.2 LABOR INCOME &amp; PRODUCTIVITY'!AB24</f>
        <v>858.6275500785315</v>
      </c>
      <c r="M5" s="253">
        <f>'2.2 LABOR INCOME &amp; PRODUCTIVITY'!AC24</f>
        <v>864.70450029195285</v>
      </c>
      <c r="N5" s="253">
        <f>'2.2 LABOR INCOME &amp; PRODUCTIVITY'!AD24</f>
        <v>870.80896898877427</v>
      </c>
      <c r="O5" s="271"/>
      <c r="P5" s="222" t="e">
        <f t="shared" si="2"/>
        <v>#N/A</v>
      </c>
      <c r="Q5" s="222">
        <f t="shared" si="0"/>
        <v>-0.51900373947993883</v>
      </c>
      <c r="R5" s="222" t="e">
        <f t="shared" si="0"/>
        <v>#N/A</v>
      </c>
      <c r="S5" s="222" t="e">
        <f t="shared" si="0"/>
        <v>#N/A</v>
      </c>
      <c r="T5" s="222" t="e">
        <f t="shared" si="0"/>
        <v>#N/A</v>
      </c>
      <c r="U5" s="222" t="e">
        <f t="shared" si="0"/>
        <v>#N/A</v>
      </c>
      <c r="V5" s="222" t="e">
        <f t="shared" si="0"/>
        <v>#N/A</v>
      </c>
      <c r="W5" s="222">
        <f t="shared" si="0"/>
        <v>0</v>
      </c>
      <c r="X5" s="222">
        <f t="shared" si="0"/>
        <v>-4.9745394076526894E-3</v>
      </c>
      <c r="Y5" s="222">
        <f t="shared" si="0"/>
        <v>-8.9656937138483661E-3</v>
      </c>
      <c r="Z5" s="222">
        <f t="shared" si="0"/>
        <v>-1.951632566447925E-3</v>
      </c>
      <c r="AA5" s="222">
        <f t="shared" si="0"/>
        <v>5.0941906192238928E-3</v>
      </c>
      <c r="AC5" s="253">
        <f t="shared" si="1"/>
        <v>866.3953857421875</v>
      </c>
      <c r="AE5" s="279">
        <v>5</v>
      </c>
    </row>
    <row r="6" spans="1:31" x14ac:dyDescent="0.2">
      <c r="A6" s="217" t="s">
        <v>541</v>
      </c>
      <c r="B6" s="253" t="e">
        <f>'2.2 LABOR INCOME &amp; PRODUCTIVITY'!R25</f>
        <v>#N/A</v>
      </c>
      <c r="C6" s="253" t="e">
        <f>'2.2 LABOR INCOME &amp; PRODUCTIVITY'!S25</f>
        <v>#N/A</v>
      </c>
      <c r="D6" s="253">
        <f>'2.2 LABOR INCOME &amp; PRODUCTIVITY'!T25</f>
        <v>334.06631469726563</v>
      </c>
      <c r="E6" s="253" t="e">
        <f>'2.2 LABOR INCOME &amp; PRODUCTIVITY'!U25</f>
        <v>#N/A</v>
      </c>
      <c r="F6" s="253" t="e">
        <f>'2.2 LABOR INCOME &amp; PRODUCTIVITY'!V25</f>
        <v>#N/A</v>
      </c>
      <c r="G6" s="253" t="e">
        <f>'2.2 LABOR INCOME &amp; PRODUCTIVITY'!W25</f>
        <v>#N/A</v>
      </c>
      <c r="H6" s="253" t="e">
        <f>'2.2 LABOR INCOME &amp; PRODUCTIVITY'!X25</f>
        <v>#N/A</v>
      </c>
      <c r="I6" s="253" t="e">
        <f>'2.2 LABOR INCOME &amp; PRODUCTIVITY'!Y25</f>
        <v>#N/A</v>
      </c>
      <c r="J6" s="253">
        <f>'2.2 LABOR INCOME &amp; PRODUCTIVITY'!Z25</f>
        <v>502.22030639648438</v>
      </c>
      <c r="K6" s="253">
        <f>'2.2 LABOR INCOME &amp; PRODUCTIVITY'!AA25</f>
        <v>498.45847175953992</v>
      </c>
      <c r="L6" s="253">
        <f>'2.2 LABOR INCOME &amp; PRODUCTIVITY'!AB25</f>
        <v>492.37558681941573</v>
      </c>
      <c r="M6" s="253">
        <f>'2.2 LABOR INCOME &amp; PRODUCTIVITY'!AC25</f>
        <v>493.67306263875724</v>
      </c>
      <c r="N6" s="253">
        <f>'2.2 LABOR INCOME &amp; PRODUCTIVITY'!AD25</f>
        <v>504.61262546594776</v>
      </c>
      <c r="O6" s="271"/>
      <c r="P6" s="222" t="e">
        <f t="shared" si="2"/>
        <v>#N/A</v>
      </c>
      <c r="Q6" s="222">
        <f t="shared" si="0"/>
        <v>-0.33482117221773067</v>
      </c>
      <c r="R6" s="222" t="e">
        <f t="shared" si="0"/>
        <v>#N/A</v>
      </c>
      <c r="S6" s="222" t="e">
        <f t="shared" si="0"/>
        <v>#N/A</v>
      </c>
      <c r="T6" s="222" t="e">
        <f t="shared" si="0"/>
        <v>#N/A</v>
      </c>
      <c r="U6" s="222" t="e">
        <f t="shared" si="0"/>
        <v>#N/A</v>
      </c>
      <c r="V6" s="222" t="e">
        <f t="shared" si="0"/>
        <v>#N/A</v>
      </c>
      <c r="W6" s="222">
        <f t="shared" si="0"/>
        <v>0</v>
      </c>
      <c r="X6" s="222">
        <f t="shared" si="0"/>
        <v>-7.4904072755167528E-3</v>
      </c>
      <c r="Y6" s="222">
        <f t="shared" si="0"/>
        <v>-1.9602392519143974E-2</v>
      </c>
      <c r="Z6" s="222">
        <f t="shared" si="0"/>
        <v>-1.7018913112165968E-2</v>
      </c>
      <c r="AA6" s="222">
        <f t="shared" si="0"/>
        <v>4.7634853449647352E-3</v>
      </c>
      <c r="AC6" s="253">
        <f t="shared" si="1"/>
        <v>502.22030639648438</v>
      </c>
      <c r="AE6" s="279">
        <v>6</v>
      </c>
    </row>
    <row r="7" spans="1:31" x14ac:dyDescent="0.2">
      <c r="A7" s="217" t="s">
        <v>542</v>
      </c>
      <c r="B7" s="253" t="e">
        <f>'2.2 LABOR INCOME &amp; PRODUCTIVITY'!R26</f>
        <v>#N/A</v>
      </c>
      <c r="C7" s="253" t="e">
        <f>'2.2 LABOR INCOME &amp; PRODUCTIVITY'!S26</f>
        <v>#N/A</v>
      </c>
      <c r="D7" s="253">
        <f>'2.2 LABOR INCOME &amp; PRODUCTIVITY'!T26</f>
        <v>591.46917724609375</v>
      </c>
      <c r="E7" s="253" t="e">
        <f>'2.2 LABOR INCOME &amp; PRODUCTIVITY'!U26</f>
        <v>#N/A</v>
      </c>
      <c r="F7" s="253" t="e">
        <f>'2.2 LABOR INCOME &amp; PRODUCTIVITY'!V26</f>
        <v>#N/A</v>
      </c>
      <c r="G7" s="253" t="e">
        <f>'2.2 LABOR INCOME &amp; PRODUCTIVITY'!W26</f>
        <v>#N/A</v>
      </c>
      <c r="H7" s="253" t="e">
        <f>'2.2 LABOR INCOME &amp; PRODUCTIVITY'!X26</f>
        <v>#N/A</v>
      </c>
      <c r="I7" s="253" t="e">
        <f>'2.2 LABOR INCOME &amp; PRODUCTIVITY'!Y26</f>
        <v>#N/A</v>
      </c>
      <c r="J7" s="253">
        <f>'2.2 LABOR INCOME &amp; PRODUCTIVITY'!Z26</f>
        <v>1200.75146484375</v>
      </c>
      <c r="K7" s="253">
        <f>'2.2 LABOR INCOME &amp; PRODUCTIVITY'!AA26</f>
        <v>1198.7073472282152</v>
      </c>
      <c r="L7" s="253">
        <f>'2.2 LABOR INCOME &amp; PRODUCTIVITY'!AB26</f>
        <v>1196.9112489788222</v>
      </c>
      <c r="M7" s="253">
        <f>'2.2 LABOR INCOME &amp; PRODUCTIVITY'!AC26</f>
        <v>1202.4307873734635</v>
      </c>
      <c r="N7" s="253">
        <f>'2.2 LABOR INCOME &amp; PRODUCTIVITY'!AD26</f>
        <v>1210.7204364437807</v>
      </c>
      <c r="O7" s="271"/>
      <c r="P7" s="222" t="e">
        <f t="shared" si="2"/>
        <v>#N/A</v>
      </c>
      <c r="Q7" s="222">
        <f t="shared" si="0"/>
        <v>-0.50741748433089795</v>
      </c>
      <c r="R7" s="222" t="e">
        <f t="shared" si="0"/>
        <v>#N/A</v>
      </c>
      <c r="S7" s="222" t="e">
        <f t="shared" si="0"/>
        <v>#N/A</v>
      </c>
      <c r="T7" s="222" t="e">
        <f t="shared" si="0"/>
        <v>#N/A</v>
      </c>
      <c r="U7" s="222" t="e">
        <f t="shared" si="0"/>
        <v>#N/A</v>
      </c>
      <c r="V7" s="222" t="e">
        <f t="shared" si="0"/>
        <v>#N/A</v>
      </c>
      <c r="W7" s="222">
        <f t="shared" si="0"/>
        <v>0</v>
      </c>
      <c r="X7" s="222">
        <f t="shared" si="0"/>
        <v>-1.7023652898902064E-3</v>
      </c>
      <c r="Y7" s="222">
        <f t="shared" si="0"/>
        <v>-3.1981771227133082E-3</v>
      </c>
      <c r="Z7" s="222">
        <f t="shared" si="0"/>
        <v>1.398559634430363E-3</v>
      </c>
      <c r="AA7" s="222">
        <f t="shared" si="0"/>
        <v>8.3022772754459684E-3</v>
      </c>
      <c r="AC7" s="253">
        <f t="shared" si="1"/>
        <v>1200.75146484375</v>
      </c>
      <c r="AE7" s="279">
        <v>7</v>
      </c>
    </row>
    <row r="8" spans="1:31" ht="13.5" thickBot="1" x14ac:dyDescent="0.25">
      <c r="A8" s="255" t="s">
        <v>589</v>
      </c>
      <c r="B8" s="256" t="e">
        <f>'2.2 LABOR INCOME &amp; PRODUCTIVITY'!R27</f>
        <v>#N/A</v>
      </c>
      <c r="C8" s="256" t="e">
        <f>'2.2 LABOR INCOME &amp; PRODUCTIVITY'!S27</f>
        <v>#N/A</v>
      </c>
      <c r="D8" s="256">
        <f>'2.2 LABOR INCOME &amp; PRODUCTIVITY'!T27</f>
        <v>323.01544296148978</v>
      </c>
      <c r="E8" s="256" t="e">
        <f>'2.2 LABOR INCOME &amp; PRODUCTIVITY'!U27</f>
        <v>#N/A</v>
      </c>
      <c r="F8" s="256" t="e">
        <f>'2.2 LABOR INCOME &amp; PRODUCTIVITY'!V27</f>
        <v>#N/A</v>
      </c>
      <c r="G8" s="256" t="e">
        <f>'2.2 LABOR INCOME &amp; PRODUCTIVITY'!W27</f>
        <v>#N/A</v>
      </c>
      <c r="H8" s="256" t="e">
        <f>'2.2 LABOR INCOME &amp; PRODUCTIVITY'!X27</f>
        <v>#N/A</v>
      </c>
      <c r="I8" s="256" t="e">
        <f>'2.2 LABOR INCOME &amp; PRODUCTIVITY'!Y27</f>
        <v>#N/A</v>
      </c>
      <c r="J8" s="256">
        <f>'2.2 LABOR INCOME &amp; PRODUCTIVITY'!Z27</f>
        <v>643.73047733313888</v>
      </c>
      <c r="K8" s="256">
        <f>'2.2 LABOR INCOME &amp; PRODUCTIVITY'!AA27</f>
        <v>641.14513830532564</v>
      </c>
      <c r="L8" s="256">
        <f>'2.2 LABOR INCOME &amp; PRODUCTIVITY'!AB27</f>
        <v>637.54487388479492</v>
      </c>
      <c r="M8" s="256">
        <f>'2.2 LABOR INCOME &amp; PRODUCTIVITY'!AC27</f>
        <v>641.19164176481797</v>
      </c>
      <c r="N8" s="256">
        <f>'2.2 LABOR INCOME &amp; PRODUCTIVITY'!AD27</f>
        <v>648.3007558536242</v>
      </c>
      <c r="O8" s="272"/>
      <c r="P8" s="261" t="e">
        <f t="shared" si="2"/>
        <v>#N/A</v>
      </c>
      <c r="Q8" s="261">
        <f t="shared" si="0"/>
        <v>-0.4982132206949631</v>
      </c>
      <c r="R8" s="261" t="e">
        <f t="shared" si="0"/>
        <v>#N/A</v>
      </c>
      <c r="S8" s="261" t="e">
        <f t="shared" si="0"/>
        <v>#N/A</v>
      </c>
      <c r="T8" s="261" t="e">
        <f t="shared" si="0"/>
        <v>#N/A</v>
      </c>
      <c r="U8" s="261" t="e">
        <f t="shared" si="0"/>
        <v>#N/A</v>
      </c>
      <c r="V8" s="261" t="e">
        <f t="shared" si="0"/>
        <v>#N/A</v>
      </c>
      <c r="W8" s="261">
        <f t="shared" si="0"/>
        <v>0</v>
      </c>
      <c r="X8" s="261">
        <f t="shared" si="0"/>
        <v>-4.0161824223762244E-3</v>
      </c>
      <c r="Y8" s="261">
        <f t="shared" si="0"/>
        <v>-9.6089957927264491E-3</v>
      </c>
      <c r="Z8" s="261">
        <f t="shared" si="0"/>
        <v>-3.9439418478970367E-3</v>
      </c>
      <c r="AA8" s="261">
        <f t="shared" si="0"/>
        <v>7.0996770875586535E-3</v>
      </c>
      <c r="AC8" s="256">
        <f t="shared" si="1"/>
        <v>643.73047733313888</v>
      </c>
      <c r="AE8" s="279">
        <v>8</v>
      </c>
    </row>
    <row r="9" spans="1:31" ht="13.5" thickTop="1" x14ac:dyDescent="0.2">
      <c r="A9" s="257" t="s">
        <v>543</v>
      </c>
      <c r="B9" s="258">
        <f>'1. GDP'!Q17</f>
        <v>2871706.6053806697</v>
      </c>
      <c r="C9" s="258">
        <f>'1. GDP'!R17</f>
        <v>2967287.9442823385</v>
      </c>
      <c r="D9" s="258">
        <f>'1. GDP'!S17</f>
        <v>2795050.0000000014</v>
      </c>
      <c r="E9" s="258">
        <f>'1. GDP'!T17</f>
        <v>2884379.9999999995</v>
      </c>
      <c r="F9" s="258">
        <f>'1. GDP'!U17</f>
        <v>2986618.0000000023</v>
      </c>
      <c r="G9" s="258">
        <f>'1. GDP'!V17</f>
        <v>3083999.0000000019</v>
      </c>
      <c r="H9" s="258">
        <f>'1. GDP'!W17</f>
        <v>3189500.9999999977</v>
      </c>
      <c r="I9" s="258">
        <f>'1. GDP'!X17</f>
        <v>3290752.9999999981</v>
      </c>
      <c r="J9" s="258">
        <f>'1. GDP'!Y17</f>
        <v>3391251.9999999977</v>
      </c>
      <c r="K9" s="258">
        <f>'1. GDP'!Z17</f>
        <v>3505585.9999999907</v>
      </c>
      <c r="L9" s="258">
        <f>'1. GDP'!AA17</f>
        <v>3614259.16599999</v>
      </c>
      <c r="M9" s="258">
        <f>'1. GDP'!AB17</f>
        <v>3726301.2001459892</v>
      </c>
      <c r="N9" s="258">
        <f>'1. GDP'!AC17</f>
        <v>3845542.8385506608</v>
      </c>
      <c r="O9" s="273"/>
      <c r="P9" s="222">
        <f>+C9/$AC9-1</f>
        <v>-0.12501697181974669</v>
      </c>
      <c r="Q9" s="222">
        <f t="shared" ref="Q9:AA12" si="3">+D9/$AC9-1</f>
        <v>-0.17580586756749328</v>
      </c>
      <c r="R9" s="222">
        <f t="shared" si="3"/>
        <v>-0.14946456352992887</v>
      </c>
      <c r="S9" s="222">
        <f t="shared" si="3"/>
        <v>-0.11931699561105913</v>
      </c>
      <c r="T9" s="222">
        <f t="shared" si="3"/>
        <v>-9.0601642107397518E-2</v>
      </c>
      <c r="U9" s="222">
        <f t="shared" si="3"/>
        <v>-5.9491597793381312E-2</v>
      </c>
      <c r="V9" s="222">
        <f t="shared" si="3"/>
        <v>-2.9634777952213365E-2</v>
      </c>
      <c r="W9" s="222">
        <f t="shared" si="3"/>
        <v>0</v>
      </c>
      <c r="X9" s="222">
        <f t="shared" si="3"/>
        <v>3.3714392206769972E-2</v>
      </c>
      <c r="Y9" s="222">
        <f t="shared" si="3"/>
        <v>6.5759538365179671E-2</v>
      </c>
      <c r="Z9" s="222">
        <f t="shared" si="3"/>
        <v>9.879808405450019E-2</v>
      </c>
      <c r="AA9" s="222">
        <f t="shared" si="3"/>
        <v>0.13395962274424411</v>
      </c>
      <c r="AC9" s="258">
        <f t="shared" si="1"/>
        <v>3391251.9999999977</v>
      </c>
      <c r="AE9" s="279">
        <v>9</v>
      </c>
    </row>
    <row r="10" spans="1:31" x14ac:dyDescent="0.2">
      <c r="A10" s="257" t="s">
        <v>544</v>
      </c>
      <c r="B10" s="258">
        <f>'1. GDP'!Q18</f>
        <v>5144417.920840349</v>
      </c>
      <c r="C10" s="258">
        <f>'1. GDP'!R18</f>
        <v>5641723.9066053219</v>
      </c>
      <c r="D10" s="258">
        <f>'1. GDP'!S18</f>
        <v>6449400.0000000102</v>
      </c>
      <c r="E10" s="258">
        <f>'1. GDP'!T18</f>
        <v>6982905.0000000168</v>
      </c>
      <c r="F10" s="258">
        <f>'1. GDP'!U18</f>
        <v>7694869.0000000009</v>
      </c>
      <c r="G10" s="258">
        <f>'1. GDP'!V18</f>
        <v>8590037.9999999963</v>
      </c>
      <c r="H10" s="258">
        <f>'1. GDP'!W18</f>
        <v>8900232.0000000093</v>
      </c>
      <c r="I10" s="258">
        <f>'1. GDP'!X18</f>
        <v>9815808</v>
      </c>
      <c r="J10" s="258">
        <f>'1. GDP'!Y18</f>
        <v>10783222.999999996</v>
      </c>
      <c r="K10" s="258">
        <f>'1. GDP'!Z18</f>
        <v>11685490.999999994</v>
      </c>
      <c r="L10" s="258">
        <f>'1. GDP'!AA18</f>
        <v>12456733.405999994</v>
      </c>
      <c r="M10" s="258">
        <f>'1. GDP'!AB18</f>
        <v>13353618.211231994</v>
      </c>
      <c r="N10" s="258">
        <f>'1. GDP'!AC18</f>
        <v>14261664.249595771</v>
      </c>
      <c r="O10" s="273"/>
      <c r="P10" s="222">
        <f t="shared" ref="P10:P12" si="4">+C10/$AC10-1</f>
        <v>-0.47680541275968014</v>
      </c>
      <c r="Q10" s="222">
        <f t="shared" si="3"/>
        <v>-0.40190423586714175</v>
      </c>
      <c r="R10" s="222">
        <f t="shared" si="3"/>
        <v>-0.35242876828198588</v>
      </c>
      <c r="S10" s="222">
        <f t="shared" si="3"/>
        <v>-0.28640361049752905</v>
      </c>
      <c r="T10" s="222">
        <f t="shared" si="3"/>
        <v>-0.20338863436284316</v>
      </c>
      <c r="U10" s="222">
        <f t="shared" si="3"/>
        <v>-0.17462228129752932</v>
      </c>
      <c r="V10" s="222">
        <f t="shared" si="3"/>
        <v>-8.9714828303188776E-2</v>
      </c>
      <c r="W10" s="222">
        <f t="shared" si="3"/>
        <v>0</v>
      </c>
      <c r="X10" s="222">
        <f t="shared" si="3"/>
        <v>8.367331362803121E-2</v>
      </c>
      <c r="Y10" s="222">
        <f t="shared" si="3"/>
        <v>0.15519575232748117</v>
      </c>
      <c r="Z10" s="222">
        <f t="shared" si="3"/>
        <v>0.23836984649505988</v>
      </c>
      <c r="AA10" s="222">
        <f t="shared" si="3"/>
        <v>0.32257899605672402</v>
      </c>
      <c r="AC10" s="258">
        <f t="shared" si="1"/>
        <v>10783222.999999996</v>
      </c>
      <c r="AE10" s="279">
        <v>10</v>
      </c>
    </row>
    <row r="11" spans="1:31" x14ac:dyDescent="0.2">
      <c r="A11" s="257" t="s">
        <v>545</v>
      </c>
      <c r="B11" s="258">
        <f>'1. GDP'!Q21</f>
        <v>9391224.0392250158</v>
      </c>
      <c r="C11" s="258">
        <f>'1. GDP'!R21</f>
        <v>9936014.7463149913</v>
      </c>
      <c r="D11" s="258">
        <f>'1. GDP'!S21</f>
        <v>10629823.999999996</v>
      </c>
      <c r="E11" s="258">
        <f>'1. GDP'!T21</f>
        <v>11307473.999999993</v>
      </c>
      <c r="F11" s="258">
        <f>'1. GDP'!U21</f>
        <v>12048522.999999996</v>
      </c>
      <c r="G11" s="258">
        <f>'1. GDP'!V21</f>
        <v>12877439.000000004</v>
      </c>
      <c r="H11" s="258">
        <f>'1. GDP'!W21</f>
        <v>13383890.999999987</v>
      </c>
      <c r="I11" s="258">
        <f>'1. GDP'!X21</f>
        <v>14151078</v>
      </c>
      <c r="J11" s="258">
        <f>'1. GDP'!Y21</f>
        <v>15036465</v>
      </c>
      <c r="K11" s="258">
        <f>'1. GDP'!Z21</f>
        <v>15844110.000000006</v>
      </c>
      <c r="L11" s="258">
        <f>'1. GDP'!AA21</f>
        <v>16737510.713175127</v>
      </c>
      <c r="M11" s="258">
        <f>'1. GDP'!AB21</f>
        <v>17592770.072269551</v>
      </c>
      <c r="N11" s="258">
        <f>'1. GDP'!AC21</f>
        <v>18616921.610366233</v>
      </c>
      <c r="O11" s="273"/>
      <c r="P11" s="222">
        <f t="shared" si="4"/>
        <v>-0.33920540856411452</v>
      </c>
      <c r="Q11" s="222">
        <f t="shared" si="3"/>
        <v>-0.29306362898460536</v>
      </c>
      <c r="R11" s="222">
        <f t="shared" si="3"/>
        <v>-0.24799652045876519</v>
      </c>
      <c r="S11" s="222">
        <f t="shared" si="3"/>
        <v>-0.19871306187990356</v>
      </c>
      <c r="T11" s="222">
        <f t="shared" si="3"/>
        <v>-0.14358600907859631</v>
      </c>
      <c r="U11" s="222">
        <f t="shared" si="3"/>
        <v>-0.10990442234926978</v>
      </c>
      <c r="V11" s="222">
        <f t="shared" si="3"/>
        <v>-5.8882656262625566E-2</v>
      </c>
      <c r="W11" s="222">
        <f t="shared" si="3"/>
        <v>0</v>
      </c>
      <c r="X11" s="222">
        <f t="shared" si="3"/>
        <v>5.3712425094595506E-2</v>
      </c>
      <c r="Y11" s="222">
        <f t="shared" si="3"/>
        <v>0.1131280332960658</v>
      </c>
      <c r="Z11" s="222">
        <f t="shared" si="3"/>
        <v>0.17000705101029734</v>
      </c>
      <c r="AA11" s="222">
        <f t="shared" si="3"/>
        <v>0.23811824191166164</v>
      </c>
      <c r="AC11" s="258">
        <f t="shared" si="1"/>
        <v>15036465</v>
      </c>
      <c r="AE11" s="279">
        <v>11</v>
      </c>
    </row>
    <row r="12" spans="1:31" ht="13.5" thickBot="1" x14ac:dyDescent="0.25">
      <c r="A12" s="259" t="s">
        <v>342</v>
      </c>
      <c r="B12" s="260">
        <f>'1. GDP'!Q14</f>
        <v>18187862.326803636</v>
      </c>
      <c r="C12" s="260">
        <f>'1. GDP'!R14</f>
        <v>19379648.602542982</v>
      </c>
      <c r="D12" s="260">
        <f>'1. GDP'!S14</f>
        <v>20758213.000000007</v>
      </c>
      <c r="E12" s="260">
        <f>'1. GDP'!T14</f>
        <v>22126230.000000007</v>
      </c>
      <c r="F12" s="260">
        <f>'1. GDP'!U14</f>
        <v>23745739</v>
      </c>
      <c r="G12" s="260">
        <f>'1. GDP'!V14</f>
        <v>25617356</v>
      </c>
      <c r="H12" s="260">
        <f>'1. GDP'!W14</f>
        <v>26500650.999999993</v>
      </c>
      <c r="I12" s="260">
        <f>'1. GDP'!X14</f>
        <v>28339444</v>
      </c>
      <c r="J12" s="260">
        <f>'1. GDP'!Y14</f>
        <v>30351494.999999993</v>
      </c>
      <c r="K12" s="260">
        <f>'1. GDP'!Z14</f>
        <v>32104328.999999993</v>
      </c>
      <c r="L12" s="260">
        <f>'1. GDP'!AA14</f>
        <v>33915983.981280357</v>
      </c>
      <c r="M12" s="260">
        <f>'1. GDP'!AB14</f>
        <v>35843097.4706081</v>
      </c>
      <c r="N12" s="260">
        <f>'1. GDP'!AC14</f>
        <v>37965693.008444853</v>
      </c>
      <c r="O12" s="8"/>
      <c r="P12" s="261">
        <f t="shared" si="4"/>
        <v>-0.36149278305589272</v>
      </c>
      <c r="Q12" s="261">
        <f t="shared" si="3"/>
        <v>-0.31607279970887714</v>
      </c>
      <c r="R12" s="261">
        <f t="shared" si="3"/>
        <v>-0.27100032469570234</v>
      </c>
      <c r="S12" s="261">
        <f t="shared" si="3"/>
        <v>-0.2176418657466459</v>
      </c>
      <c r="T12" s="261">
        <f t="shared" si="3"/>
        <v>-0.15597712732107571</v>
      </c>
      <c r="U12" s="261">
        <f t="shared" si="3"/>
        <v>-0.12687493647347525</v>
      </c>
      <c r="V12" s="261">
        <f t="shared" si="3"/>
        <v>-6.6291660427270305E-2</v>
      </c>
      <c r="W12" s="261">
        <f t="shared" si="3"/>
        <v>0</v>
      </c>
      <c r="X12" s="261">
        <f t="shared" si="3"/>
        <v>5.775115855083901E-2</v>
      </c>
      <c r="Y12" s="261">
        <f t="shared" si="3"/>
        <v>0.11744030998408372</v>
      </c>
      <c r="Z12" s="261">
        <f t="shared" si="3"/>
        <v>0.1809335082376704</v>
      </c>
      <c r="AA12" s="261">
        <f t="shared" si="3"/>
        <v>0.25086731340399737</v>
      </c>
      <c r="AC12" s="260">
        <f t="shared" si="1"/>
        <v>30351494.999999993</v>
      </c>
      <c r="AE12" s="279">
        <v>12</v>
      </c>
    </row>
    <row r="13" spans="1:31" ht="13.5" thickTop="1" x14ac:dyDescent="0.2">
      <c r="A13" s="217" t="s">
        <v>343</v>
      </c>
      <c r="B13" s="262" t="e">
        <f>'2.1 LABOR STRUCTURE'!R40*100</f>
        <v>#N/A</v>
      </c>
      <c r="C13" s="262" t="e">
        <f>'2.1 LABOR STRUCTURE'!S40*100</f>
        <v>#N/A</v>
      </c>
      <c r="D13" s="262">
        <f>'2.1 LABOR STRUCTURE'!T40*100</f>
        <v>47.669631463454472</v>
      </c>
      <c r="E13" s="262" t="e">
        <f>'2.1 LABOR STRUCTURE'!U40*100</f>
        <v>#N/A</v>
      </c>
      <c r="F13" s="262" t="e">
        <f>'2.1 LABOR STRUCTURE'!V40*100</f>
        <v>#N/A</v>
      </c>
      <c r="G13" s="262" t="e">
        <f>'2.1 LABOR STRUCTURE'!W40*100</f>
        <v>#N/A</v>
      </c>
      <c r="H13" s="262" t="e">
        <f>'2.1 LABOR STRUCTURE'!X40*100</f>
        <v>#N/A</v>
      </c>
      <c r="I13" s="262" t="e">
        <f>'2.1 LABOR STRUCTURE'!Y40*100</f>
        <v>#N/A</v>
      </c>
      <c r="J13" s="262">
        <f>'2.1 LABOR STRUCTURE'!Z40*100</f>
        <v>50.867230402224131</v>
      </c>
      <c r="K13" s="262">
        <f>'2.1 LABOR STRUCTURE'!AA40*100</f>
        <v>49.962652304328827</v>
      </c>
      <c r="L13" s="262">
        <f>'2.1 LABOR STRUCTURE'!AB40*100</f>
        <v>50.201123461731235</v>
      </c>
      <c r="M13" s="262">
        <f>'2.1 LABOR STRUCTURE'!AC40*100</f>
        <v>50.27557797394028</v>
      </c>
      <c r="N13" s="262">
        <f>'2.1 LABOR STRUCTURE'!AD40*100</f>
        <v>50.193321672301202</v>
      </c>
      <c r="O13" s="274"/>
      <c r="P13" s="222" t="e">
        <f t="shared" ref="P13:P25" si="5">+C13/$AC13-1</f>
        <v>#N/A</v>
      </c>
      <c r="Q13" s="222">
        <f>+D13/$AC13-1</f>
        <v>-6.2861667786611952E-2</v>
      </c>
      <c r="R13" s="222" t="e">
        <f t="shared" ref="R13:R25" si="6">+E13/$AC13-1</f>
        <v>#N/A</v>
      </c>
      <c r="S13" s="222" t="e">
        <f t="shared" ref="S13:S25" si="7">+F13/$AC13-1</f>
        <v>#N/A</v>
      </c>
      <c r="T13" s="222" t="e">
        <f t="shared" ref="T13:T25" si="8">+G13/$AC13-1</f>
        <v>#N/A</v>
      </c>
      <c r="U13" s="222" t="e">
        <f t="shared" ref="U13:U25" si="9">+H13/$AC13-1</f>
        <v>#N/A</v>
      </c>
      <c r="V13" s="222" t="e">
        <f t="shared" ref="V13:V25" si="10">+I13/$AC13-1</f>
        <v>#N/A</v>
      </c>
      <c r="W13" s="222">
        <f t="shared" ref="W13:W25" si="11">+J13/$AC13-1</f>
        <v>0</v>
      </c>
      <c r="X13" s="222">
        <f t="shared" ref="X13:X25" si="12">+K13/$AC13-1</f>
        <v>-1.7783120699564448E-2</v>
      </c>
      <c r="Y13" s="222">
        <f t="shared" ref="Y13:Y25" si="13">+L13/$AC13-1</f>
        <v>-1.3095010977121513E-2</v>
      </c>
      <c r="Z13" s="222">
        <f t="shared" ref="Z13:Z25" si="14">+M13/$AC13-1</f>
        <v>-1.1631308085882752E-2</v>
      </c>
      <c r="AA13" s="222">
        <f t="shared" ref="AA13:AA24" si="15">+N13/$AC13-1</f>
        <v>-1.3248386526927169E-2</v>
      </c>
      <c r="AC13" s="262">
        <f t="shared" si="1"/>
        <v>50.867230402224131</v>
      </c>
      <c r="AE13" s="279">
        <v>13</v>
      </c>
    </row>
    <row r="14" spans="1:31" ht="13.5" thickBot="1" x14ac:dyDescent="0.25">
      <c r="A14" s="255" t="s">
        <v>344</v>
      </c>
      <c r="B14" s="263" t="e">
        <f>'2.1 LABOR STRUCTURE'!R42*100</f>
        <v>#N/A</v>
      </c>
      <c r="C14" s="263" t="e">
        <f>'2.1 LABOR STRUCTURE'!S42*100</f>
        <v>#N/A</v>
      </c>
      <c r="D14" s="263">
        <f>'2.1 LABOR STRUCTURE'!T42*100</f>
        <v>3.1088016262292539</v>
      </c>
      <c r="E14" s="263" t="e">
        <f>'2.1 LABOR STRUCTURE'!U42*100</f>
        <v>#N/A</v>
      </c>
      <c r="F14" s="263" t="e">
        <f>'2.1 LABOR STRUCTURE'!V42*100</f>
        <v>#N/A</v>
      </c>
      <c r="G14" s="263" t="e">
        <f>'2.1 LABOR STRUCTURE'!W42*100</f>
        <v>#N/A</v>
      </c>
      <c r="H14" s="263" t="e">
        <f>'2.1 LABOR STRUCTURE'!X42*100</f>
        <v>#N/A</v>
      </c>
      <c r="I14" s="263" t="e">
        <f>'2.1 LABOR STRUCTURE'!Y42*100</f>
        <v>#N/A</v>
      </c>
      <c r="J14" s="263">
        <f>'2.1 LABOR STRUCTURE'!Z42*100</f>
        <v>4.0339098303362952</v>
      </c>
      <c r="K14" s="263">
        <f>'2.1 LABOR STRUCTURE'!AA42*100</f>
        <v>3.5870519862655792</v>
      </c>
      <c r="L14" s="263">
        <f>'2.1 LABOR STRUCTURE'!AB42*100</f>
        <v>3.8384052024889139</v>
      </c>
      <c r="M14" s="263">
        <f>'2.1 LABOR STRUCTURE'!AC42*100</f>
        <v>3.6065532038253205</v>
      </c>
      <c r="N14" s="263">
        <f>'2.1 LABOR STRUCTURE'!AD42*100</f>
        <v>3.5469714294071162</v>
      </c>
      <c r="O14" s="275"/>
      <c r="P14" s="261" t="e">
        <f>+C14/$AC14-1</f>
        <v>#N/A</v>
      </c>
      <c r="Q14" s="261">
        <f t="shared" ref="Q14:Q25" si="16">+D14/$AC14-1</f>
        <v>-0.22933289116924005</v>
      </c>
      <c r="R14" s="261" t="e">
        <f t="shared" si="6"/>
        <v>#N/A</v>
      </c>
      <c r="S14" s="261" t="e">
        <f t="shared" si="7"/>
        <v>#N/A</v>
      </c>
      <c r="T14" s="261" t="e">
        <f t="shared" si="8"/>
        <v>#N/A</v>
      </c>
      <c r="U14" s="261" t="e">
        <f t="shared" si="9"/>
        <v>#N/A</v>
      </c>
      <c r="V14" s="261" t="e">
        <f t="shared" si="10"/>
        <v>#N/A</v>
      </c>
      <c r="W14" s="261">
        <f t="shared" si="11"/>
        <v>0</v>
      </c>
      <c r="X14" s="261">
        <f t="shared" si="12"/>
        <v>-0.11077536753801531</v>
      </c>
      <c r="Y14" s="261">
        <f t="shared" si="13"/>
        <v>-4.8465294483561294E-2</v>
      </c>
      <c r="Z14" s="261">
        <f t="shared" si="14"/>
        <v>-0.10594104590467435</v>
      </c>
      <c r="AA14" s="261">
        <f t="shared" si="15"/>
        <v>-0.12071127551420369</v>
      </c>
      <c r="AC14" s="263">
        <f t="shared" si="1"/>
        <v>4.0339098303362952</v>
      </c>
      <c r="AE14" s="279">
        <v>14</v>
      </c>
    </row>
    <row r="15" spans="1:31" ht="13.5" thickTop="1" x14ac:dyDescent="0.2">
      <c r="A15" s="217" t="s">
        <v>549</v>
      </c>
      <c r="B15" s="262" t="e">
        <f>('2.1 LABOR STRUCTURE'!R23/'2.1 LABOR STRUCTURE'!R$11)*100</f>
        <v>#N/A</v>
      </c>
      <c r="C15" s="262" t="e">
        <f>('2.1 LABOR STRUCTURE'!S23/'2.1 LABOR STRUCTURE'!S$11)*100</f>
        <v>#N/A</v>
      </c>
      <c r="D15" s="262">
        <f>('2.1 LABOR STRUCTURE'!T23/'2.1 LABOR STRUCTURE'!T$11)*100</f>
        <v>4.3053789153658304</v>
      </c>
      <c r="E15" s="262" t="e">
        <f>('2.1 LABOR STRUCTURE'!U23/'2.1 LABOR STRUCTURE'!U$11)*100</f>
        <v>#N/A</v>
      </c>
      <c r="F15" s="262" t="e">
        <f>('2.1 LABOR STRUCTURE'!V23/'2.1 LABOR STRUCTURE'!V$11)*100</f>
        <v>#N/A</v>
      </c>
      <c r="G15" s="262" t="e">
        <f>('2.1 LABOR STRUCTURE'!W23/'2.1 LABOR STRUCTURE'!W$11)*100</f>
        <v>#N/A</v>
      </c>
      <c r="H15" s="262" t="e">
        <f>('2.1 LABOR STRUCTURE'!X23/'2.1 LABOR STRUCTURE'!X$11)*100</f>
        <v>#N/A</v>
      </c>
      <c r="I15" s="262" t="e">
        <f>('2.1 LABOR STRUCTURE'!Y23/'2.1 LABOR STRUCTURE'!Y$11)*100</f>
        <v>#N/A</v>
      </c>
      <c r="J15" s="262">
        <f>('2.1 LABOR STRUCTURE'!Z23/'2.1 LABOR STRUCTURE'!Z$11)*100</f>
        <v>4.4901335727946483</v>
      </c>
      <c r="K15" s="262">
        <f>('2.1 LABOR STRUCTURE'!AA23/'2.1 LABOR STRUCTURE'!AA$11)*100</f>
        <v>4.3638727388857577</v>
      </c>
      <c r="L15" s="262">
        <f>('2.1 LABOR STRUCTURE'!AB23/'2.1 LABOR STRUCTURE'!AB$11)*100</f>
        <v>4.3619835722300762</v>
      </c>
      <c r="M15" s="262">
        <f>('2.1 LABOR STRUCTURE'!AC23/'2.1 LABOR STRUCTURE'!AC$11)*100</f>
        <v>4.34064922667456</v>
      </c>
      <c r="N15" s="262">
        <f>('2.1 LABOR STRUCTURE'!AD23/'2.1 LABOR STRUCTURE'!AD$11)*100</f>
        <v>4.3283481964090331</v>
      </c>
      <c r="O15" s="9"/>
      <c r="P15" s="222" t="e">
        <f>+C15/$AC15-1</f>
        <v>#N/A</v>
      </c>
      <c r="Q15" s="222">
        <f t="shared" si="16"/>
        <v>-4.1146806533380542E-2</v>
      </c>
      <c r="R15" s="222" t="e">
        <f t="shared" si="6"/>
        <v>#N/A</v>
      </c>
      <c r="S15" s="222" t="e">
        <f t="shared" si="7"/>
        <v>#N/A</v>
      </c>
      <c r="T15" s="222" t="e">
        <f t="shared" si="8"/>
        <v>#N/A</v>
      </c>
      <c r="U15" s="222" t="e">
        <f t="shared" si="9"/>
        <v>#N/A</v>
      </c>
      <c r="V15" s="222" t="e">
        <f t="shared" si="10"/>
        <v>#N/A</v>
      </c>
      <c r="W15" s="222">
        <f t="shared" si="11"/>
        <v>0</v>
      </c>
      <c r="X15" s="222">
        <f>+K15/$AC15-1</f>
        <v>-2.811961645726857E-2</v>
      </c>
      <c r="Y15" s="222">
        <f t="shared" si="13"/>
        <v>-2.8540353752730785E-2</v>
      </c>
      <c r="Z15" s="222">
        <f t="shared" si="14"/>
        <v>-3.329173702666699E-2</v>
      </c>
      <c r="AA15" s="222">
        <f t="shared" si="15"/>
        <v>-3.6031305920576462E-2</v>
      </c>
      <c r="AC15" s="262">
        <f t="shared" si="1"/>
        <v>4.4901335727946483</v>
      </c>
      <c r="AE15" s="279">
        <v>15</v>
      </c>
    </row>
    <row r="16" spans="1:31" x14ac:dyDescent="0.2">
      <c r="A16" s="217" t="s">
        <v>550</v>
      </c>
      <c r="B16" s="262" t="e">
        <f>('2.1 LABOR STRUCTURE'!R24/'2.1 LABOR STRUCTURE'!R$11)*100</f>
        <v>#N/A</v>
      </c>
      <c r="C16" s="262" t="e">
        <f>('2.1 LABOR STRUCTURE'!S24/'2.1 LABOR STRUCTURE'!S$11)*100</f>
        <v>#N/A</v>
      </c>
      <c r="D16" s="262">
        <f>('2.1 LABOR STRUCTURE'!T24/'2.1 LABOR STRUCTURE'!T$11)*100</f>
        <v>28.810235274142521</v>
      </c>
      <c r="E16" s="262" t="e">
        <f>('2.1 LABOR STRUCTURE'!U24/'2.1 LABOR STRUCTURE'!U$11)*100</f>
        <v>#N/A</v>
      </c>
      <c r="F16" s="262" t="e">
        <f>('2.1 LABOR STRUCTURE'!V24/'2.1 LABOR STRUCTURE'!V$11)*100</f>
        <v>#N/A</v>
      </c>
      <c r="G16" s="262" t="e">
        <f>('2.1 LABOR STRUCTURE'!W24/'2.1 LABOR STRUCTURE'!W$11)*100</f>
        <v>#N/A</v>
      </c>
      <c r="H16" s="262" t="e">
        <f>('2.1 LABOR STRUCTURE'!X24/'2.1 LABOR STRUCTURE'!X$11)*100</f>
        <v>#N/A</v>
      </c>
      <c r="I16" s="262" t="e">
        <f>('2.1 LABOR STRUCTURE'!Y24/'2.1 LABOR STRUCTURE'!Y$11)*100</f>
        <v>#N/A</v>
      </c>
      <c r="J16" s="262">
        <f>('2.1 LABOR STRUCTURE'!Z24/'2.1 LABOR STRUCTURE'!Z$11)*100</f>
        <v>27.299324327206492</v>
      </c>
      <c r="K16" s="262">
        <f>('2.1 LABOR STRUCTURE'!AA24/'2.1 LABOR STRUCTURE'!AA$11)*100</f>
        <v>26.531677797582866</v>
      </c>
      <c r="L16" s="262">
        <f>('2.1 LABOR STRUCTURE'!AB24/'2.1 LABOR STRUCTURE'!AB$11)*100</f>
        <v>26.465488903922523</v>
      </c>
      <c r="M16" s="262">
        <f>('2.1 LABOR STRUCTURE'!AC24/'2.1 LABOR STRUCTURE'!AC$11)*100</f>
        <v>26.293448795233452</v>
      </c>
      <c r="N16" s="262">
        <f>('2.1 LABOR STRUCTURE'!AD24/'2.1 LABOR STRUCTURE'!AD$11)*100</f>
        <v>26.177383997286256</v>
      </c>
      <c r="O16" s="9"/>
      <c r="P16" s="222" t="e">
        <f t="shared" ref="P16:P20" si="17">+C16/$AC16-1</f>
        <v>#N/A</v>
      </c>
      <c r="Q16" s="222">
        <f t="shared" si="16"/>
        <v>5.5346093142321973E-2</v>
      </c>
      <c r="R16" s="222" t="e">
        <f t="shared" si="6"/>
        <v>#N/A</v>
      </c>
      <c r="S16" s="222" t="e">
        <f t="shared" si="7"/>
        <v>#N/A</v>
      </c>
      <c r="T16" s="222" t="e">
        <f t="shared" si="8"/>
        <v>#N/A</v>
      </c>
      <c r="U16" s="222" t="e">
        <f t="shared" si="9"/>
        <v>#N/A</v>
      </c>
      <c r="V16" s="222" t="e">
        <f t="shared" si="10"/>
        <v>#N/A</v>
      </c>
      <c r="W16" s="222">
        <f t="shared" si="11"/>
        <v>0</v>
      </c>
      <c r="X16" s="222">
        <f>+K16/$AC16-1</f>
        <v>-2.8119616457268459E-2</v>
      </c>
      <c r="Y16" s="222">
        <f t="shared" si="13"/>
        <v>-3.0544178064252248E-2</v>
      </c>
      <c r="Z16" s="222">
        <f t="shared" si="14"/>
        <v>-3.6846169521147609E-2</v>
      </c>
      <c r="AA16" s="222">
        <f t="shared" si="15"/>
        <v>-4.1097732547252463E-2</v>
      </c>
      <c r="AC16" s="262">
        <f t="shared" si="1"/>
        <v>27.299324327206492</v>
      </c>
      <c r="AE16" s="279">
        <v>16</v>
      </c>
    </row>
    <row r="17" spans="1:31" x14ac:dyDescent="0.2">
      <c r="A17" s="217" t="s">
        <v>551</v>
      </c>
      <c r="B17" s="262" t="e">
        <f>('2.1 LABOR STRUCTURE'!R25/'2.1 LABOR STRUCTURE'!R$11)*100</f>
        <v>#N/A</v>
      </c>
      <c r="C17" s="262" t="e">
        <f>('2.1 LABOR STRUCTURE'!S25/'2.1 LABOR STRUCTURE'!S$11)*100</f>
        <v>#N/A</v>
      </c>
      <c r="D17" s="262">
        <f>('2.1 LABOR STRUCTURE'!T25/'2.1 LABOR STRUCTURE'!T$11)*100</f>
        <v>19.418244792516298</v>
      </c>
      <c r="E17" s="262" t="e">
        <f>('2.1 LABOR STRUCTURE'!U25/'2.1 LABOR STRUCTURE'!U$11)*100</f>
        <v>#N/A</v>
      </c>
      <c r="F17" s="262" t="e">
        <f>('2.1 LABOR STRUCTURE'!V25/'2.1 LABOR STRUCTURE'!V$11)*100</f>
        <v>#N/A</v>
      </c>
      <c r="G17" s="262" t="e">
        <f>('2.1 LABOR STRUCTURE'!W25/'2.1 LABOR STRUCTURE'!W$11)*100</f>
        <v>#N/A</v>
      </c>
      <c r="H17" s="262" t="e">
        <f>('2.1 LABOR STRUCTURE'!X25/'2.1 LABOR STRUCTURE'!X$11)*100</f>
        <v>#N/A</v>
      </c>
      <c r="I17" s="262" t="e">
        <f>('2.1 LABOR STRUCTURE'!Y25/'2.1 LABOR STRUCTURE'!Y$11)*100</f>
        <v>#N/A</v>
      </c>
      <c r="J17" s="262">
        <f>('2.1 LABOR STRUCTURE'!Z25/'2.1 LABOR STRUCTURE'!Z$11)*100</f>
        <v>17.416479679248063</v>
      </c>
      <c r="K17" s="262">
        <f>('2.1 LABOR STRUCTURE'!AA25/'2.1 LABOR STRUCTURE'!AA$11)*100</f>
        <v>17.402214906826952</v>
      </c>
      <c r="L17" s="262">
        <f>('2.1 LABOR STRUCTURE'!AB25/'2.1 LABOR STRUCTURE'!AB$11)*100</f>
        <v>17.222227341965311</v>
      </c>
      <c r="M17" s="262">
        <f>('2.1 LABOR STRUCTURE'!AC25/'2.1 LABOR STRUCTURE'!AC$11)*100</f>
        <v>17.296416890060414</v>
      </c>
      <c r="N17" s="262">
        <f>('2.1 LABOR STRUCTURE'!AD25/'2.1 LABOR STRUCTURE'!AD$11)*100</f>
        <v>17.474071056803371</v>
      </c>
      <c r="O17" s="9"/>
      <c r="P17" s="222" t="e">
        <f t="shared" si="17"/>
        <v>#N/A</v>
      </c>
      <c r="Q17" s="222">
        <f t="shared" si="16"/>
        <v>0.11493511605869244</v>
      </c>
      <c r="R17" s="222" t="e">
        <f t="shared" si="6"/>
        <v>#N/A</v>
      </c>
      <c r="S17" s="222" t="e">
        <f t="shared" si="7"/>
        <v>#N/A</v>
      </c>
      <c r="T17" s="222" t="e">
        <f t="shared" si="8"/>
        <v>#N/A</v>
      </c>
      <c r="U17" s="222" t="e">
        <f t="shared" si="9"/>
        <v>#N/A</v>
      </c>
      <c r="V17" s="222" t="e">
        <f t="shared" si="10"/>
        <v>#N/A</v>
      </c>
      <c r="W17" s="222">
        <f t="shared" si="11"/>
        <v>0</v>
      </c>
      <c r="X17" s="222">
        <f t="shared" si="12"/>
        <v>-8.1903878876898872E-4</v>
      </c>
      <c r="Y17" s="222">
        <f t="shared" si="13"/>
        <v>-1.1153363989750753E-2</v>
      </c>
      <c r="Z17" s="222">
        <f t="shared" si="14"/>
        <v>-6.8936312847828196E-3</v>
      </c>
      <c r="AA17" s="222">
        <f t="shared" si="15"/>
        <v>3.3067174662126941E-3</v>
      </c>
      <c r="AC17" s="262">
        <f t="shared" si="1"/>
        <v>17.416479679248063</v>
      </c>
      <c r="AE17" s="279">
        <v>17</v>
      </c>
    </row>
    <row r="18" spans="1:31" x14ac:dyDescent="0.2">
      <c r="A18" s="217" t="s">
        <v>552</v>
      </c>
      <c r="B18" s="262" t="e">
        <f>('2.1 LABOR STRUCTURE'!R26/'2.1 LABOR STRUCTURE'!R$11)*100</f>
        <v>#N/A</v>
      </c>
      <c r="C18" s="262" t="e">
        <f>('2.1 LABOR STRUCTURE'!S26/'2.1 LABOR STRUCTURE'!S$11)*100</f>
        <v>#N/A</v>
      </c>
      <c r="D18" s="262">
        <f>('2.1 LABOR STRUCTURE'!T26/'2.1 LABOR STRUCTURE'!T$11)*100</f>
        <v>5.930572698966623</v>
      </c>
      <c r="E18" s="262" t="e">
        <f>('2.1 LABOR STRUCTURE'!U26/'2.1 LABOR STRUCTURE'!U$11)*100</f>
        <v>#N/A</v>
      </c>
      <c r="F18" s="262" t="e">
        <f>('2.1 LABOR STRUCTURE'!V26/'2.1 LABOR STRUCTURE'!V$11)*100</f>
        <v>#N/A</v>
      </c>
      <c r="G18" s="262" t="e">
        <f>('2.1 LABOR STRUCTURE'!W26/'2.1 LABOR STRUCTURE'!W$11)*100</f>
        <v>#N/A</v>
      </c>
      <c r="H18" s="262" t="e">
        <f>('2.1 LABOR STRUCTURE'!X26/'2.1 LABOR STRUCTURE'!X$11)*100</f>
        <v>#N/A</v>
      </c>
      <c r="I18" s="262" t="e">
        <f>('2.1 LABOR STRUCTURE'!Y26/'2.1 LABOR STRUCTURE'!Y$11)*100</f>
        <v>#N/A</v>
      </c>
      <c r="J18" s="262">
        <f>('2.1 LABOR STRUCTURE'!Z26/'2.1 LABOR STRUCTURE'!Z$11)*100</f>
        <v>10.434310759123282</v>
      </c>
      <c r="K18" s="262">
        <f>('2.1 LABOR STRUCTURE'!AA26/'2.1 LABOR STRUCTURE'!AA$11)*100</f>
        <v>10.694507352068154</v>
      </c>
      <c r="L18" s="262">
        <f>('2.1 LABOR STRUCTURE'!AB26/'2.1 LABOR STRUCTURE'!AB$11)*100</f>
        <v>10.61667828282569</v>
      </c>
      <c r="M18" s="262">
        <f>('2.1 LABOR STRUCTURE'!AC26/'2.1 LABOR STRUCTURE'!AC$11)*100</f>
        <v>10.767480233660336</v>
      </c>
      <c r="N18" s="262">
        <f>('2.1 LABOR STRUCTURE'!AD26/'2.1 LABOR STRUCTURE'!AD$11)*100</f>
        <v>10.878074684579905</v>
      </c>
      <c r="O18" s="9"/>
      <c r="P18" s="222" t="e">
        <f t="shared" si="17"/>
        <v>#N/A</v>
      </c>
      <c r="Q18" s="222">
        <f t="shared" si="16"/>
        <v>-0.4316277485044997</v>
      </c>
      <c r="R18" s="222" t="e">
        <f t="shared" si="6"/>
        <v>#N/A</v>
      </c>
      <c r="S18" s="222" t="e">
        <f t="shared" si="7"/>
        <v>#N/A</v>
      </c>
      <c r="T18" s="222" t="e">
        <f t="shared" si="8"/>
        <v>#N/A</v>
      </c>
      <c r="U18" s="222" t="e">
        <f t="shared" si="9"/>
        <v>#N/A</v>
      </c>
      <c r="V18" s="222" t="e">
        <f t="shared" si="10"/>
        <v>#N/A</v>
      </c>
      <c r="W18" s="222">
        <f t="shared" si="11"/>
        <v>0</v>
      </c>
      <c r="X18" s="222">
        <f t="shared" si="12"/>
        <v>2.4936634431494964E-2</v>
      </c>
      <c r="Y18" s="222">
        <f t="shared" si="13"/>
        <v>1.7477678009824915E-2</v>
      </c>
      <c r="Z18" s="222">
        <f t="shared" si="14"/>
        <v>3.1930185158204782E-2</v>
      </c>
      <c r="AA18" s="222">
        <f t="shared" si="15"/>
        <v>4.2529299318464053E-2</v>
      </c>
      <c r="AC18" s="262">
        <f t="shared" si="1"/>
        <v>10.434310759123282</v>
      </c>
      <c r="AE18" s="279">
        <v>18</v>
      </c>
    </row>
    <row r="19" spans="1:31" x14ac:dyDescent="0.2">
      <c r="A19" s="217" t="s">
        <v>553</v>
      </c>
      <c r="B19" s="262" t="e">
        <f>('2.1 LABOR STRUCTURE'!R27/'2.1 LABOR STRUCTURE'!R$11)*100</f>
        <v>#N/A</v>
      </c>
      <c r="C19" s="262" t="e">
        <f>('2.1 LABOR STRUCTURE'!S27/'2.1 LABOR STRUCTURE'!S$11)*100</f>
        <v>#N/A</v>
      </c>
      <c r="D19" s="262">
        <f>('2.1 LABOR STRUCTURE'!T27/'2.1 LABOR STRUCTURE'!T$11)*100</f>
        <v>27.93163094698637</v>
      </c>
      <c r="E19" s="262" t="e">
        <f>('2.1 LABOR STRUCTURE'!U27/'2.1 LABOR STRUCTURE'!U$11)*100</f>
        <v>#N/A</v>
      </c>
      <c r="F19" s="262" t="e">
        <f>('2.1 LABOR STRUCTURE'!V27/'2.1 LABOR STRUCTURE'!V$11)*100</f>
        <v>#N/A</v>
      </c>
      <c r="G19" s="262" t="e">
        <f>('2.1 LABOR STRUCTURE'!W27/'2.1 LABOR STRUCTURE'!W$11)*100</f>
        <v>#N/A</v>
      </c>
      <c r="H19" s="262" t="e">
        <f>('2.1 LABOR STRUCTURE'!X27/'2.1 LABOR STRUCTURE'!X$11)*100</f>
        <v>#N/A</v>
      </c>
      <c r="I19" s="262" t="e">
        <f>('2.1 LABOR STRUCTURE'!Y27/'2.1 LABOR STRUCTURE'!Y$11)*100</f>
        <v>#N/A</v>
      </c>
      <c r="J19" s="262">
        <f>('2.1 LABOR STRUCTURE'!Z27/'2.1 LABOR STRUCTURE'!Z$11)*100</f>
        <v>22.838840191358063</v>
      </c>
      <c r="K19" s="262">
        <f>('2.1 LABOR STRUCTURE'!AA27/'2.1 LABOR STRUCTURE'!AA$11)*100</f>
        <v>23.336757156732148</v>
      </c>
      <c r="L19" s="262">
        <f>('2.1 LABOR STRUCTURE'!AB27/'2.1 LABOR STRUCTURE'!AB$11)*100</f>
        <v>23.536287181553021</v>
      </c>
      <c r="M19" s="262">
        <f>('2.1 LABOR STRUCTURE'!AC27/'2.1 LABOR STRUCTURE'!AC$11)*100</f>
        <v>23.527993187851536</v>
      </c>
      <c r="N19" s="262">
        <f>('2.1 LABOR STRUCTURE'!AD27/'2.1 LABOR STRUCTURE'!AD$11)*100</f>
        <v>23.449009075345138</v>
      </c>
      <c r="O19" s="9"/>
      <c r="P19" s="222" t="e">
        <f t="shared" si="17"/>
        <v>#N/A</v>
      </c>
      <c r="Q19" s="222">
        <f t="shared" si="16"/>
        <v>0.22298815145417739</v>
      </c>
      <c r="R19" s="222" t="e">
        <f t="shared" si="6"/>
        <v>#N/A</v>
      </c>
      <c r="S19" s="222" t="e">
        <f t="shared" si="7"/>
        <v>#N/A</v>
      </c>
      <c r="T19" s="222" t="e">
        <f t="shared" si="8"/>
        <v>#N/A</v>
      </c>
      <c r="U19" s="222" t="e">
        <f t="shared" si="9"/>
        <v>#N/A</v>
      </c>
      <c r="V19" s="222" t="e">
        <f t="shared" si="10"/>
        <v>#N/A</v>
      </c>
      <c r="W19" s="222">
        <f t="shared" si="11"/>
        <v>0</v>
      </c>
      <c r="X19" s="222">
        <f t="shared" si="12"/>
        <v>2.1801324463161187E-2</v>
      </c>
      <c r="Y19" s="222">
        <f t="shared" si="13"/>
        <v>3.0537758675629467E-2</v>
      </c>
      <c r="Z19" s="222">
        <f t="shared" si="14"/>
        <v>3.017460565945207E-2</v>
      </c>
      <c r="AA19" s="222">
        <f t="shared" si="15"/>
        <v>2.6716281513189832E-2</v>
      </c>
      <c r="AC19" s="262">
        <f t="shared" si="1"/>
        <v>22.838840191358063</v>
      </c>
      <c r="AE19" s="279">
        <v>19</v>
      </c>
    </row>
    <row r="20" spans="1:31" ht="13.5" thickBot="1" x14ac:dyDescent="0.25">
      <c r="A20" s="255" t="s">
        <v>554</v>
      </c>
      <c r="B20" s="263" t="e">
        <f>('2.1 LABOR STRUCTURE'!R28/'2.1 LABOR STRUCTURE'!R$11)*100</f>
        <v>#N/A</v>
      </c>
      <c r="C20" s="263" t="e">
        <f>('2.1 LABOR STRUCTURE'!S28/'2.1 LABOR STRUCTURE'!S$11)*100</f>
        <v>#N/A</v>
      </c>
      <c r="D20" s="263">
        <f>('2.1 LABOR STRUCTURE'!T28/'2.1 LABOR STRUCTURE'!T$11)*100</f>
        <v>13.60393737202236</v>
      </c>
      <c r="E20" s="263" t="e">
        <f>('2.1 LABOR STRUCTURE'!U28/'2.1 LABOR STRUCTURE'!U$11)*100</f>
        <v>#N/A</v>
      </c>
      <c r="F20" s="263" t="e">
        <f>('2.1 LABOR STRUCTURE'!V28/'2.1 LABOR STRUCTURE'!V$11)*100</f>
        <v>#N/A</v>
      </c>
      <c r="G20" s="263" t="e">
        <f>('2.1 LABOR STRUCTURE'!W28/'2.1 LABOR STRUCTURE'!W$11)*100</f>
        <v>#N/A</v>
      </c>
      <c r="H20" s="263" t="e">
        <f>('2.1 LABOR STRUCTURE'!X28/'2.1 LABOR STRUCTURE'!X$11)*100</f>
        <v>#N/A</v>
      </c>
      <c r="I20" s="263" t="e">
        <f>('2.1 LABOR STRUCTURE'!Y28/'2.1 LABOR STRUCTURE'!Y$11)*100</f>
        <v>#N/A</v>
      </c>
      <c r="J20" s="263">
        <f>('2.1 LABOR STRUCTURE'!Z28/'2.1 LABOR STRUCTURE'!Z$11)*100</f>
        <v>17.52091147026945</v>
      </c>
      <c r="K20" s="263">
        <f>('2.1 LABOR STRUCTURE'!AA28/'2.1 LABOR STRUCTURE'!AA$11)*100</f>
        <v>17.670970047904135</v>
      </c>
      <c r="L20" s="263">
        <f>('2.1 LABOR STRUCTURE'!AB28/'2.1 LABOR STRUCTURE'!AB$11)*100</f>
        <v>17.797334717503375</v>
      </c>
      <c r="M20" s="263">
        <f>('2.1 LABOR STRUCTURE'!AC28/'2.1 LABOR STRUCTURE'!AC$11)*100</f>
        <v>17.774011666519694</v>
      </c>
      <c r="N20" s="263">
        <f>('2.1 LABOR STRUCTURE'!AD28/'2.1 LABOR STRUCTURE'!AD$11)*100</f>
        <v>17.693112989576292</v>
      </c>
      <c r="O20" s="10"/>
      <c r="P20" s="261" t="e">
        <f t="shared" si="17"/>
        <v>#N/A</v>
      </c>
      <c r="Q20" s="261">
        <f t="shared" si="16"/>
        <v>-0.22355995034240372</v>
      </c>
      <c r="R20" s="261" t="e">
        <f t="shared" si="6"/>
        <v>#N/A</v>
      </c>
      <c r="S20" s="261" t="e">
        <f t="shared" si="7"/>
        <v>#N/A</v>
      </c>
      <c r="T20" s="261" t="e">
        <f t="shared" si="8"/>
        <v>#N/A</v>
      </c>
      <c r="U20" s="261" t="e">
        <f t="shared" si="9"/>
        <v>#N/A</v>
      </c>
      <c r="V20" s="261" t="e">
        <f t="shared" si="10"/>
        <v>#N/A</v>
      </c>
      <c r="W20" s="261">
        <f t="shared" si="11"/>
        <v>0</v>
      </c>
      <c r="X20" s="261">
        <f t="shared" si="12"/>
        <v>8.5645417414106362E-3</v>
      </c>
      <c r="Y20" s="261">
        <f t="shared" si="13"/>
        <v>1.5776761825603502E-2</v>
      </c>
      <c r="Z20" s="261">
        <f t="shared" si="14"/>
        <v>1.4445606707146563E-2</v>
      </c>
      <c r="AA20" s="261">
        <f t="shared" si="15"/>
        <v>9.8283425265315305E-3</v>
      </c>
      <c r="AC20" s="262">
        <f t="shared" si="1"/>
        <v>17.52091147026945</v>
      </c>
      <c r="AE20" s="279">
        <v>20</v>
      </c>
    </row>
    <row r="21" spans="1:31" ht="13.5" thickTop="1" x14ac:dyDescent="0.2">
      <c r="A21" s="257" t="s">
        <v>555</v>
      </c>
      <c r="B21" s="262" t="e">
        <f>'2.1 LABOR STRUCTURE'!R52*100</f>
        <v>#N/A</v>
      </c>
      <c r="C21" s="262" t="e">
        <f>'2.1 LABOR STRUCTURE'!S52*100</f>
        <v>#N/A</v>
      </c>
      <c r="D21" s="262">
        <f>'2.1 LABOR STRUCTURE'!T52*100</f>
        <v>13.001054097102797</v>
      </c>
      <c r="E21" s="262" t="e">
        <f>'2.1 LABOR STRUCTURE'!U52*100</f>
        <v>#N/A</v>
      </c>
      <c r="F21" s="262" t="e">
        <f>'2.1 LABOR STRUCTURE'!V52*100</f>
        <v>#N/A</v>
      </c>
      <c r="G21" s="262" t="e">
        <f>'2.1 LABOR STRUCTURE'!W52*100</f>
        <v>#N/A</v>
      </c>
      <c r="H21" s="262" t="e">
        <f>'2.1 LABOR STRUCTURE'!X52*100</f>
        <v>#N/A</v>
      </c>
      <c r="I21" s="262" t="e">
        <f>'2.1 LABOR STRUCTURE'!Y52*100</f>
        <v>#N/A</v>
      </c>
      <c r="J21" s="262">
        <f>'2.1 LABOR STRUCTURE'!Z52*100</f>
        <v>14.124599377941852</v>
      </c>
      <c r="K21" s="262">
        <f>'2.1 LABOR STRUCTURE'!AA52*100</f>
        <v>14.124599377941852</v>
      </c>
      <c r="L21" s="262">
        <f>'2.1 LABOR STRUCTURE'!AB52*100</f>
        <v>14.149663342021967</v>
      </c>
      <c r="M21" s="262">
        <f>'2.1 LABOR STRUCTURE'!AC52*100</f>
        <v>14.169339092570441</v>
      </c>
      <c r="N21" s="262">
        <f>'2.1 LABOR STRUCTURE'!AD52*100</f>
        <v>14.188638938171714</v>
      </c>
      <c r="O21" s="9"/>
      <c r="P21" s="222" t="e">
        <f t="shared" si="5"/>
        <v>#N/A</v>
      </c>
      <c r="Q21" s="222">
        <f t="shared" si="16"/>
        <v>-7.9545284844940611E-2</v>
      </c>
      <c r="R21" s="222" t="e">
        <f t="shared" si="6"/>
        <v>#N/A</v>
      </c>
      <c r="S21" s="222" t="e">
        <f t="shared" si="7"/>
        <v>#N/A</v>
      </c>
      <c r="T21" s="222" t="e">
        <f t="shared" si="8"/>
        <v>#N/A</v>
      </c>
      <c r="U21" s="222" t="e">
        <f t="shared" si="9"/>
        <v>#N/A</v>
      </c>
      <c r="V21" s="222" t="e">
        <f t="shared" si="10"/>
        <v>#N/A</v>
      </c>
      <c r="W21" s="222">
        <f t="shared" si="11"/>
        <v>0</v>
      </c>
      <c r="X21" s="222">
        <f>+K21/$AC21-1</f>
        <v>0</v>
      </c>
      <c r="Y21" s="222">
        <f t="shared" si="13"/>
        <v>1.774490264074835E-3</v>
      </c>
      <c r="Z21" s="222">
        <f t="shared" si="14"/>
        <v>3.1675032637357159E-3</v>
      </c>
      <c r="AA21" s="222">
        <f t="shared" si="15"/>
        <v>4.5339027689430544E-3</v>
      </c>
      <c r="AC21" s="262">
        <f t="shared" si="1"/>
        <v>14.124599377941852</v>
      </c>
      <c r="AE21" s="279">
        <v>21</v>
      </c>
    </row>
    <row r="22" spans="1:31" x14ac:dyDescent="0.2">
      <c r="A22" s="257" t="s">
        <v>587</v>
      </c>
      <c r="B22" s="262" t="e">
        <f>'2.1 LABOR STRUCTURE'!R53*100</f>
        <v>#N/A</v>
      </c>
      <c r="C22" s="262" t="e">
        <f>'2.1 LABOR STRUCTURE'!S53*100</f>
        <v>#N/A</v>
      </c>
      <c r="D22" s="262">
        <f>'2.1 LABOR STRUCTURE'!T53*100</f>
        <v>76.604144548520793</v>
      </c>
      <c r="E22" s="262" t="e">
        <f>'2.1 LABOR STRUCTURE'!U53*100</f>
        <v>#N/A</v>
      </c>
      <c r="F22" s="262" t="e">
        <f>'2.1 LABOR STRUCTURE'!V53*100</f>
        <v>#N/A</v>
      </c>
      <c r="G22" s="262" t="e">
        <f>'2.1 LABOR STRUCTURE'!W53*100</f>
        <v>#N/A</v>
      </c>
      <c r="H22" s="262" t="e">
        <f>'2.1 LABOR STRUCTURE'!X53*100</f>
        <v>#N/A</v>
      </c>
      <c r="I22" s="262" t="e">
        <f>'2.1 LABOR STRUCTURE'!Y53*100</f>
        <v>#N/A</v>
      </c>
      <c r="J22" s="262">
        <f>'2.1 LABOR STRUCTURE'!Z53*100</f>
        <v>62.534956477402382</v>
      </c>
      <c r="K22" s="262">
        <f>'2.1 LABOR STRUCTURE'!AA53*100</f>
        <v>61.936815072148164</v>
      </c>
      <c r="L22" s="262">
        <f>'2.1 LABOR STRUCTURE'!AB53*100</f>
        <v>61.863880621185899</v>
      </c>
      <c r="M22" s="262">
        <f>'2.1 LABOR STRUCTURE'!AC53*100</f>
        <v>61.632270150537202</v>
      </c>
      <c r="N22" s="262">
        <f>'2.1 LABOR STRUCTURE'!AD53*100</f>
        <v>61.632270150537202</v>
      </c>
      <c r="O22" s="9"/>
      <c r="P22" s="222" t="e">
        <f t="shared" si="5"/>
        <v>#N/A</v>
      </c>
      <c r="Q22" s="222">
        <f t="shared" si="16"/>
        <v>0.22498117634738346</v>
      </c>
      <c r="R22" s="222" t="e">
        <f t="shared" si="6"/>
        <v>#N/A</v>
      </c>
      <c r="S22" s="222" t="e">
        <f t="shared" si="7"/>
        <v>#N/A</v>
      </c>
      <c r="T22" s="222" t="e">
        <f t="shared" si="8"/>
        <v>#N/A</v>
      </c>
      <c r="U22" s="222" t="e">
        <f t="shared" si="9"/>
        <v>#N/A</v>
      </c>
      <c r="V22" s="222" t="e">
        <f t="shared" si="10"/>
        <v>#N/A</v>
      </c>
      <c r="W22" s="222">
        <f t="shared" si="11"/>
        <v>0</v>
      </c>
      <c r="X22" s="222">
        <f t="shared" si="12"/>
        <v>-9.5649127935406586E-3</v>
      </c>
      <c r="Y22" s="222">
        <f t="shared" si="13"/>
        <v>-1.0731211693718601E-2</v>
      </c>
      <c r="Z22" s="222">
        <f t="shared" si="14"/>
        <v>-1.4434907733427038E-2</v>
      </c>
      <c r="AA22" s="222">
        <f t="shared" si="15"/>
        <v>-1.4434907733427038E-2</v>
      </c>
      <c r="AC22" s="262">
        <f t="shared" si="1"/>
        <v>62.534956477402382</v>
      </c>
      <c r="AE22" s="279">
        <v>22</v>
      </c>
    </row>
    <row r="23" spans="1:31" ht="13.5" thickBot="1" x14ac:dyDescent="0.25">
      <c r="A23" s="508" t="s">
        <v>588</v>
      </c>
      <c r="B23" s="263" t="e">
        <f>'2.1 LABOR STRUCTURE'!R54*100</f>
        <v>#N/A</v>
      </c>
      <c r="C23" s="263" t="e">
        <f>'2.1 LABOR STRUCTURE'!S54*100</f>
        <v>#N/A</v>
      </c>
      <c r="D23" s="263">
        <f>'2.1 LABOR STRUCTURE'!T54*100</f>
        <v>67.247499137271888</v>
      </c>
      <c r="E23" s="263" t="e">
        <f>'2.1 LABOR STRUCTURE'!U54*100</f>
        <v>#N/A</v>
      </c>
      <c r="F23" s="263" t="e">
        <f>'2.1 LABOR STRUCTURE'!V54*100</f>
        <v>#N/A</v>
      </c>
      <c r="G23" s="263" t="e">
        <f>'2.1 LABOR STRUCTURE'!W54*100</f>
        <v>#N/A</v>
      </c>
      <c r="H23" s="263" t="e">
        <f>'2.1 LABOR STRUCTURE'!X54*100</f>
        <v>#N/A</v>
      </c>
      <c r="I23" s="263" t="e">
        <f>'2.1 LABOR STRUCTURE'!Y54*100</f>
        <v>#N/A</v>
      </c>
      <c r="J23" s="263">
        <f>'2.1 LABOR STRUCTURE'!Z54*100</f>
        <v>56.588158378269583</v>
      </c>
      <c r="K23" s="263">
        <f>'2.1 LABOR STRUCTURE'!AA54*100</f>
        <v>56.908194497776812</v>
      </c>
      <c r="L23" s="263">
        <f>'2.1 LABOR STRUCTURE'!AB54*100</f>
        <v>56.942232739808183</v>
      </c>
      <c r="M23" s="263">
        <f>'2.1 LABOR STRUCTURE'!AC54*100</f>
        <v>56.965741180870133</v>
      </c>
      <c r="N23" s="263">
        <f>'2.1 LABOR STRUCTURE'!AD54*100</f>
        <v>56.995137582701929</v>
      </c>
      <c r="O23" s="10"/>
      <c r="P23" s="261" t="e">
        <f t="shared" si="5"/>
        <v>#N/A</v>
      </c>
      <c r="Q23" s="261">
        <f t="shared" si="16"/>
        <v>0.18836698462156698</v>
      </c>
      <c r="R23" s="261" t="e">
        <f t="shared" si="6"/>
        <v>#N/A</v>
      </c>
      <c r="S23" s="261" t="e">
        <f t="shared" si="7"/>
        <v>#N/A</v>
      </c>
      <c r="T23" s="261" t="e">
        <f t="shared" si="8"/>
        <v>#N/A</v>
      </c>
      <c r="U23" s="261" t="e">
        <f t="shared" si="9"/>
        <v>#N/A</v>
      </c>
      <c r="V23" s="261" t="e">
        <f t="shared" si="10"/>
        <v>#N/A</v>
      </c>
      <c r="W23" s="261">
        <f t="shared" si="11"/>
        <v>0</v>
      </c>
      <c r="X23" s="261">
        <f t="shared" si="12"/>
        <v>5.655531628506294E-3</v>
      </c>
      <c r="Y23" s="261">
        <f t="shared" si="13"/>
        <v>6.2570398416530448E-3</v>
      </c>
      <c r="Z23" s="261">
        <f t="shared" si="14"/>
        <v>6.6724702379701295E-3</v>
      </c>
      <c r="AA23" s="261">
        <f t="shared" si="15"/>
        <v>7.1919499785069174E-3</v>
      </c>
      <c r="AC23" s="262">
        <f t="shared" si="1"/>
        <v>56.588158378269583</v>
      </c>
      <c r="AE23" s="279">
        <v>23</v>
      </c>
    </row>
    <row r="24" spans="1:31" ht="13.5" thickTop="1" x14ac:dyDescent="0.2">
      <c r="A24" s="485" t="s">
        <v>262</v>
      </c>
      <c r="B24" s="480">
        <f>'3. NON-LABOR INCOME'!J$7</f>
        <v>14115.999999999995</v>
      </c>
      <c r="C24" s="480">
        <f>'3. NON-LABOR INCOME'!K$7</f>
        <v>15169.999999999998</v>
      </c>
      <c r="D24" s="480">
        <f>'3. NON-LABOR INCOME'!L$7</f>
        <v>14716.999999999995</v>
      </c>
      <c r="E24" s="480">
        <f>'3. NON-LABOR INCOME'!M$7</f>
        <v>12769.000000000005</v>
      </c>
      <c r="F24" s="480">
        <f>'3. NON-LABOR INCOME'!N$7</f>
        <v>14982.000000000011</v>
      </c>
      <c r="G24" s="480">
        <f>'3. NON-LABOR INCOME'!O$7</f>
        <v>16420.000000000011</v>
      </c>
      <c r="H24" s="480">
        <f>'3. NON-LABOR INCOME'!P$7</f>
        <v>18205.000829999997</v>
      </c>
      <c r="I24" s="480">
        <f>'3. NON-LABOR INCOME'!Q$7</f>
        <v>24777.710000000003</v>
      </c>
      <c r="J24" s="480">
        <f>'3. NON-LABOR INCOME'!R$7</f>
        <v>21031.680000000011</v>
      </c>
      <c r="K24" s="480">
        <f>'3. NON-LABOR INCOME'!S$7</f>
        <v>21610.73</v>
      </c>
      <c r="L24" s="480">
        <f>'3. NON-LABOR INCOME'!T$7</f>
        <v>22366.577699999998</v>
      </c>
      <c r="M24" s="480">
        <f>'3. NON-LABOR INCOME'!U$7</f>
        <v>24044.071027499998</v>
      </c>
      <c r="N24" s="480">
        <f>'3. NON-LABOR INCOME'!V$7</f>
        <v>25077.966081682498</v>
      </c>
      <c r="O24" s="481"/>
      <c r="P24" s="482">
        <f t="shared" si="5"/>
        <v>-0.27870716937496243</v>
      </c>
      <c r="Q24" s="482">
        <f t="shared" si="16"/>
        <v>-0.30024610492362058</v>
      </c>
      <c r="R24" s="482">
        <f t="shared" si="6"/>
        <v>-0.3928682825147588</v>
      </c>
      <c r="S24" s="482">
        <f t="shared" si="7"/>
        <v>-0.28764606536425041</v>
      </c>
      <c r="T24" s="482">
        <f t="shared" si="8"/>
        <v>-0.21927302051001141</v>
      </c>
      <c r="U24" s="482">
        <f t="shared" si="9"/>
        <v>-0.13440101646658809</v>
      </c>
      <c r="V24" s="482">
        <f t="shared" si="10"/>
        <v>0.17811368373805569</v>
      </c>
      <c r="W24" s="482">
        <f t="shared" si="11"/>
        <v>0</v>
      </c>
      <c r="X24" s="482">
        <f t="shared" si="12"/>
        <v>2.7532275120198957E-2</v>
      </c>
      <c r="Y24" s="482">
        <f t="shared" si="13"/>
        <v>6.3470806897023335E-2</v>
      </c>
      <c r="Z24" s="482">
        <f t="shared" si="14"/>
        <v>0.14323111741429995</v>
      </c>
      <c r="AA24" s="482">
        <f t="shared" si="15"/>
        <v>0.19239005546311483</v>
      </c>
      <c r="AB24" s="269"/>
      <c r="AC24" s="480">
        <f t="shared" si="1"/>
        <v>21031.680000000011</v>
      </c>
      <c r="AE24" s="279">
        <v>24</v>
      </c>
    </row>
    <row r="25" spans="1:31" x14ac:dyDescent="0.2">
      <c r="A25" s="485" t="s">
        <v>337</v>
      </c>
      <c r="B25" s="484">
        <v>1</v>
      </c>
      <c r="C25" s="484">
        <f>B25*(1+'3. NON-LABOR INCOME'!K$19/100)</f>
        <v>1.0655264483533029</v>
      </c>
      <c r="D25" s="484">
        <f>C25*(1+'3. NON-LABOR INCOME'!L$19/100)</f>
        <v>1.1413223830266581</v>
      </c>
      <c r="E25" s="484">
        <f>D25*(1+'3. NON-LABOR INCOME'!M$19/100)</f>
        <v>1.2165382605168218</v>
      </c>
      <c r="F25" s="484">
        <f>E25*(1+'3. NON-LABOR INCOME'!N$19/100)</f>
        <v>1.3055817115832526</v>
      </c>
      <c r="G25" s="484">
        <f>F25*(1+'3. NON-LABOR INCOME'!O$19/100)</f>
        <v>1.4084863850407487</v>
      </c>
      <c r="H25" s="484">
        <f>G25*(1+'3. NON-LABOR INCOME'!P$19/100)</f>
        <v>1.4570514115402902</v>
      </c>
      <c r="I25" s="484">
        <f>H25*(1+'3. NON-LABOR INCOME'!Q$19/100)</f>
        <v>1.5581514748682395</v>
      </c>
      <c r="J25" s="484">
        <f>I25*(1+'3. NON-LABOR INCOME'!R$19/100)</f>
        <v>1.6687775616507323</v>
      </c>
      <c r="K25" s="484">
        <f>J25*(1+'3. NON-LABOR INCOME'!S$19/100)</f>
        <v>1.765151286061001</v>
      </c>
      <c r="L25" s="484">
        <f>K25*(1+'3. NON-LABOR INCOME'!T$19/100)</f>
        <v>1.8647592553759211</v>
      </c>
      <c r="M25" s="484">
        <f>L25*(1+'3. NON-LABOR INCOME'!U$19/100)</f>
        <v>1.9707151945621764</v>
      </c>
      <c r="N25" s="484">
        <f>M25*(1+'3. NON-LABOR INCOME'!V$19/100)</f>
        <v>2.087419180990048</v>
      </c>
      <c r="O25" s="481"/>
      <c r="P25" s="482">
        <f t="shared" si="5"/>
        <v>-0.3614928239451527</v>
      </c>
      <c r="Q25" s="482">
        <f t="shared" si="16"/>
        <v>-0.31607278929513083</v>
      </c>
      <c r="R25" s="482">
        <f t="shared" si="6"/>
        <v>-0.27100034871427769</v>
      </c>
      <c r="S25" s="482">
        <f t="shared" si="7"/>
        <v>-0.21764185857593343</v>
      </c>
      <c r="T25" s="482">
        <f t="shared" si="8"/>
        <v>-0.15597715512935528</v>
      </c>
      <c r="U25" s="482">
        <f t="shared" si="9"/>
        <v>-0.12687499818789838</v>
      </c>
      <c r="V25" s="482">
        <f t="shared" si="10"/>
        <v>-6.6291691190444202E-2</v>
      </c>
      <c r="W25" s="482">
        <f t="shared" si="11"/>
        <v>0</v>
      </c>
      <c r="X25" s="482">
        <f t="shared" si="12"/>
        <v>5.7751090753483725E-2</v>
      </c>
      <c r="Y25" s="482">
        <f t="shared" si="13"/>
        <v>0.11744027378419819</v>
      </c>
      <c r="Z25" s="482">
        <f t="shared" si="14"/>
        <v>0.18093342087651965</v>
      </c>
      <c r="AA25" s="482">
        <f t="shared" ref="AA25" si="18">+N25/$AC25-1</f>
        <v>0.25086723896574981</v>
      </c>
      <c r="AB25" s="269"/>
      <c r="AC25" s="483">
        <f t="shared" si="1"/>
        <v>1.6687775616507323</v>
      </c>
      <c r="AE25" s="279">
        <v>25</v>
      </c>
    </row>
    <row r="26" spans="1:31" x14ac:dyDescent="0.2">
      <c r="A26" s="485" t="s">
        <v>338</v>
      </c>
      <c r="B26" s="484">
        <f>B25</f>
        <v>1</v>
      </c>
      <c r="C26" s="484">
        <f t="shared" ref="C26:N26" si="19">C25</f>
        <v>1.0655264483533029</v>
      </c>
      <c r="D26" s="484">
        <f t="shared" si="19"/>
        <v>1.1413223830266581</v>
      </c>
      <c r="E26" s="484">
        <f t="shared" si="19"/>
        <v>1.2165382605168218</v>
      </c>
      <c r="F26" s="484">
        <f t="shared" si="19"/>
        <v>1.3055817115832526</v>
      </c>
      <c r="G26" s="484">
        <f t="shared" si="19"/>
        <v>1.4084863850407487</v>
      </c>
      <c r="H26" s="484">
        <f t="shared" si="19"/>
        <v>1.4570514115402902</v>
      </c>
      <c r="I26" s="484">
        <f t="shared" si="19"/>
        <v>1.5581514748682395</v>
      </c>
      <c r="J26" s="484">
        <f t="shared" si="19"/>
        <v>1.6687775616507323</v>
      </c>
      <c r="K26" s="484">
        <f t="shared" si="19"/>
        <v>1.765151286061001</v>
      </c>
      <c r="L26" s="484">
        <f t="shared" si="19"/>
        <v>1.8647592553759211</v>
      </c>
      <c r="M26" s="484">
        <f t="shared" si="19"/>
        <v>1.9707151945621764</v>
      </c>
      <c r="N26" s="484">
        <f t="shared" si="19"/>
        <v>2.087419180990048</v>
      </c>
      <c r="O26" s="481"/>
      <c r="P26" s="482">
        <f t="shared" ref="P26" si="20">+C26/$AC26-1</f>
        <v>-0.3614928239451527</v>
      </c>
      <c r="Q26" s="482">
        <f t="shared" ref="Q26" si="21">+D26/$AC26-1</f>
        <v>-0.31607278929513083</v>
      </c>
      <c r="R26" s="482">
        <f t="shared" ref="R26" si="22">+E26/$AC26-1</f>
        <v>-0.27100034871427769</v>
      </c>
      <c r="S26" s="482">
        <f t="shared" ref="S26" si="23">+F26/$AC26-1</f>
        <v>-0.21764185857593343</v>
      </c>
      <c r="T26" s="482">
        <f t="shared" ref="T26" si="24">+G26/$AC26-1</f>
        <v>-0.15597715512935528</v>
      </c>
      <c r="U26" s="482">
        <f t="shared" ref="U26" si="25">+H26/$AC26-1</f>
        <v>-0.12687499818789838</v>
      </c>
      <c r="V26" s="482">
        <f t="shared" ref="V26" si="26">+I26/$AC26-1</f>
        <v>-6.6291691190444202E-2</v>
      </c>
      <c r="W26" s="482">
        <f t="shared" ref="W26" si="27">+J26/$AC26-1</f>
        <v>0</v>
      </c>
      <c r="X26" s="482">
        <f t="shared" ref="X26" si="28">+K26/$AC26-1</f>
        <v>5.7751090753483725E-2</v>
      </c>
      <c r="Y26" s="482">
        <f t="shared" ref="Y26" si="29">+L26/$AC26-1</f>
        <v>0.11744027378419819</v>
      </c>
      <c r="Z26" s="482">
        <f t="shared" ref="Z26" si="30">+M26/$AC26-1</f>
        <v>0.18093342087651965</v>
      </c>
      <c r="AA26" s="482">
        <f t="shared" ref="AA26" si="31">+N26/$AC26-1</f>
        <v>0.25086723896574981</v>
      </c>
      <c r="AB26" s="269"/>
      <c r="AC26" s="483">
        <f t="shared" si="1"/>
        <v>1.6687775616507323</v>
      </c>
      <c r="AE26" s="279">
        <v>26</v>
      </c>
    </row>
    <row r="27" spans="1:31" x14ac:dyDescent="0.2">
      <c r="A27" s="485" t="s">
        <v>368</v>
      </c>
      <c r="B27" s="484"/>
      <c r="C27" s="484"/>
      <c r="D27" s="484"/>
      <c r="E27" s="484"/>
      <c r="F27" s="484"/>
      <c r="G27" s="484"/>
      <c r="H27" s="484"/>
      <c r="I27" s="484"/>
      <c r="J27" s="484"/>
      <c r="K27" s="484"/>
      <c r="L27" s="484"/>
      <c r="M27" s="484"/>
      <c r="N27" s="484"/>
      <c r="O27" s="481"/>
      <c r="P27" s="482">
        <v>0</v>
      </c>
      <c r="Q27" s="482">
        <v>0</v>
      </c>
      <c r="R27" s="482">
        <v>0</v>
      </c>
      <c r="S27" s="482">
        <v>0</v>
      </c>
      <c r="T27" s="482">
        <v>0</v>
      </c>
      <c r="U27" s="482">
        <v>0</v>
      </c>
      <c r="V27" s="482">
        <v>0</v>
      </c>
      <c r="W27" s="482">
        <v>0</v>
      </c>
      <c r="X27" s="482">
        <v>0</v>
      </c>
      <c r="Y27" s="482">
        <v>0</v>
      </c>
      <c r="Z27" s="482">
        <v>0</v>
      </c>
      <c r="AA27" s="482">
        <v>0</v>
      </c>
      <c r="AB27" s="269"/>
      <c r="AC27" s="483">
        <f t="shared" si="1"/>
        <v>0</v>
      </c>
      <c r="AE27" s="279">
        <v>27</v>
      </c>
    </row>
    <row r="28" spans="1:31" ht="13.5" thickBot="1" x14ac:dyDescent="0.25">
      <c r="A28" s="264" t="s">
        <v>369</v>
      </c>
      <c r="B28" s="280"/>
      <c r="C28" s="280"/>
      <c r="D28" s="280"/>
      <c r="E28" s="280"/>
      <c r="F28" s="280"/>
      <c r="G28" s="280"/>
      <c r="H28" s="280"/>
      <c r="I28" s="280"/>
      <c r="J28" s="280"/>
      <c r="K28" s="280"/>
      <c r="L28" s="280"/>
      <c r="M28" s="280"/>
      <c r="N28" s="280"/>
      <c r="O28" s="276"/>
      <c r="P28" s="261">
        <v>0</v>
      </c>
      <c r="Q28" s="261">
        <v>0</v>
      </c>
      <c r="R28" s="261">
        <v>0</v>
      </c>
      <c r="S28" s="261">
        <v>0</v>
      </c>
      <c r="T28" s="261">
        <v>0</v>
      </c>
      <c r="U28" s="261">
        <v>0</v>
      </c>
      <c r="V28" s="261">
        <v>0</v>
      </c>
      <c r="W28" s="261">
        <v>0</v>
      </c>
      <c r="X28" s="261">
        <v>0</v>
      </c>
      <c r="Y28" s="261">
        <v>0</v>
      </c>
      <c r="Z28" s="261">
        <v>0</v>
      </c>
      <c r="AA28" s="261">
        <v>0</v>
      </c>
      <c r="AB28" s="269"/>
      <c r="AC28" s="265">
        <f t="shared" si="1"/>
        <v>0</v>
      </c>
      <c r="AE28" s="279">
        <v>28</v>
      </c>
    </row>
    <row r="29" spans="1:31" ht="13.5" thickTop="1" x14ac:dyDescent="0.2">
      <c r="A29" s="485" t="s">
        <v>591</v>
      </c>
      <c r="B29" s="484"/>
      <c r="C29" s="484"/>
      <c r="D29" s="484"/>
      <c r="E29" s="484"/>
      <c r="F29" s="484"/>
      <c r="G29" s="484"/>
      <c r="H29" s="484"/>
      <c r="I29" s="484"/>
      <c r="J29" s="484"/>
      <c r="K29" s="484"/>
      <c r="L29" s="484"/>
      <c r="M29" s="484"/>
      <c r="N29" s="484"/>
      <c r="O29" s="481"/>
      <c r="P29" s="482"/>
      <c r="Q29" s="482"/>
      <c r="R29" s="482"/>
      <c r="S29" s="482"/>
      <c r="T29" s="482"/>
      <c r="U29" s="482"/>
      <c r="V29" s="482"/>
      <c r="W29" s="482"/>
      <c r="X29" s="482"/>
      <c r="Y29" s="482"/>
      <c r="Z29" s="482"/>
      <c r="AA29" s="482"/>
      <c r="AB29" s="269"/>
      <c r="AC29" s="483"/>
      <c r="AE29" s="279">
        <v>29</v>
      </c>
    </row>
    <row r="30" spans="1:31" x14ac:dyDescent="0.2">
      <c r="A30" s="485" t="s">
        <v>592</v>
      </c>
      <c r="B30" s="484"/>
      <c r="C30" s="484"/>
      <c r="D30" s="484"/>
      <c r="E30" s="484"/>
      <c r="F30" s="484"/>
      <c r="G30" s="484"/>
      <c r="H30" s="484"/>
      <c r="I30" s="484"/>
      <c r="J30" s="484"/>
      <c r="K30" s="484"/>
      <c r="L30" s="484"/>
      <c r="M30" s="484"/>
      <c r="N30" s="484"/>
      <c r="O30" s="481"/>
      <c r="P30" s="482"/>
      <c r="Q30" s="482"/>
      <c r="R30" s="482"/>
      <c r="S30" s="482"/>
      <c r="T30" s="482"/>
      <c r="U30" s="482"/>
      <c r="V30" s="482"/>
      <c r="W30" s="482"/>
      <c r="X30" s="482"/>
      <c r="Y30" s="482"/>
      <c r="Z30" s="482"/>
      <c r="AA30" s="482"/>
      <c r="AB30" s="269"/>
      <c r="AC30" s="483"/>
      <c r="AE30" s="279">
        <v>30</v>
      </c>
    </row>
    <row r="31" spans="1:31" ht="13.5" thickBot="1" x14ac:dyDescent="0.25">
      <c r="A31" s="264" t="s">
        <v>593</v>
      </c>
      <c r="B31" s="280"/>
      <c r="C31" s="280"/>
      <c r="D31" s="280"/>
      <c r="E31" s="280"/>
      <c r="F31" s="280"/>
      <c r="G31" s="280"/>
      <c r="H31" s="280"/>
      <c r="I31" s="280"/>
      <c r="J31" s="280"/>
      <c r="K31" s="280"/>
      <c r="L31" s="280"/>
      <c r="M31" s="280"/>
      <c r="N31" s="280"/>
      <c r="O31" s="276"/>
      <c r="P31" s="261"/>
      <c r="Q31" s="261"/>
      <c r="R31" s="261"/>
      <c r="S31" s="261"/>
      <c r="T31" s="261"/>
      <c r="U31" s="261"/>
      <c r="V31" s="261"/>
      <c r="W31" s="261"/>
      <c r="X31" s="261"/>
      <c r="Y31" s="261"/>
      <c r="Z31" s="261"/>
      <c r="AA31" s="261"/>
      <c r="AB31" s="269"/>
      <c r="AC31" s="265"/>
      <c r="AE31" s="279">
        <v>31</v>
      </c>
    </row>
    <row r="32" spans="1:31" ht="14.25" thickTop="1" thickBot="1" x14ac:dyDescent="0.25">
      <c r="A32" s="264" t="s">
        <v>594</v>
      </c>
      <c r="B32" s="280"/>
      <c r="C32" s="280"/>
      <c r="D32" s="280"/>
      <c r="E32" s="280"/>
      <c r="F32" s="280"/>
      <c r="G32" s="280"/>
      <c r="H32" s="280"/>
      <c r="I32" s="280"/>
      <c r="J32" s="280"/>
      <c r="K32" s="280"/>
      <c r="L32" s="280"/>
      <c r="M32" s="280"/>
      <c r="N32" s="280"/>
      <c r="O32" s="276"/>
      <c r="P32" s="261"/>
      <c r="Q32" s="261"/>
      <c r="R32" s="261"/>
      <c r="S32" s="261"/>
      <c r="T32" s="261"/>
      <c r="U32" s="261"/>
      <c r="V32" s="261"/>
      <c r="W32" s="261"/>
      <c r="X32" s="261"/>
      <c r="Y32" s="261"/>
      <c r="Z32" s="261"/>
      <c r="AA32" s="261"/>
      <c r="AB32" s="269"/>
      <c r="AC32" s="265"/>
      <c r="AE32" s="279">
        <v>32</v>
      </c>
    </row>
    <row r="33" spans="1:31" ht="14.25" thickTop="1" thickBot="1" x14ac:dyDescent="0.25">
      <c r="A33" s="264" t="s">
        <v>380</v>
      </c>
      <c r="B33" s="266">
        <f>'POPULATION (hidden)'!N6</f>
        <v>155961303.7109375</v>
      </c>
      <c r="C33" s="266">
        <f>'POPULATION (hidden)'!O6</f>
        <v>157830001.83105469</v>
      </c>
      <c r="D33" s="266">
        <f>'POPULATION (hidden)'!P6</f>
        <v>159784561.15722656</v>
      </c>
      <c r="E33" s="266">
        <f>'POPULATION (hidden)'!Q6</f>
        <v>161793960.57128906</v>
      </c>
      <c r="F33" s="266">
        <f>'POPULATION (hidden)'!R6</f>
        <v>163683959.9609375</v>
      </c>
      <c r="G33" s="266">
        <f>'POPULATION (hidden)'!S6</f>
        <v>165516220.09277344</v>
      </c>
      <c r="H33" s="266">
        <f>'POPULATION (hidden)'!T6</f>
        <v>167420944.21386719</v>
      </c>
      <c r="I33" s="266">
        <f>'POPULATION (hidden)'!U6</f>
        <v>169356246.94824219</v>
      </c>
      <c r="J33" s="266">
        <f>'POPULATION (hidden)'!V6</f>
        <v>171186370.84960938</v>
      </c>
      <c r="K33" s="266">
        <f>'POPULATION (hidden)'!W6</f>
        <v>172954315.18554688</v>
      </c>
      <c r="L33" s="266">
        <f>'POPULATION (hidden)'!X6</f>
        <v>174701217.65136719</v>
      </c>
      <c r="M33" s="266">
        <f>'POPULATION (hidden)'!Y6</f>
        <v>176421508.7890625</v>
      </c>
      <c r="N33" s="266">
        <f>'POPULATION (hidden)'!Z6</f>
        <v>178106140.13671875</v>
      </c>
      <c r="O33" s="276"/>
      <c r="P33" s="261">
        <f>+C33/$AC33-1</f>
        <v>-7.8022385498717761E-2</v>
      </c>
      <c r="Q33" s="261">
        <f>+D33/$AC33-1</f>
        <v>-6.6604658044883358E-2</v>
      </c>
      <c r="R33" s="261">
        <f t="shared" ref="R33:AA33" si="32">+E33/$AC33-1</f>
        <v>-5.4866577471706202E-2</v>
      </c>
      <c r="S33" s="261">
        <f t="shared" si="32"/>
        <v>-4.3825982474170799E-2</v>
      </c>
      <c r="T33" s="261">
        <f t="shared" si="32"/>
        <v>-3.3122676347974389E-2</v>
      </c>
      <c r="U33" s="261">
        <f t="shared" si="32"/>
        <v>-2.1996065557404632E-2</v>
      </c>
      <c r="V33" s="261">
        <f t="shared" si="32"/>
        <v>-1.0690827151041082E-2</v>
      </c>
      <c r="W33" s="261">
        <f>+J33/$AC33-1</f>
        <v>0</v>
      </c>
      <c r="X33" s="261">
        <f t="shared" si="32"/>
        <v>1.0327599838486412E-2</v>
      </c>
      <c r="Y33" s="261">
        <f t="shared" si="32"/>
        <v>2.0532281771693528E-2</v>
      </c>
      <c r="Z33" s="261">
        <f t="shared" si="32"/>
        <v>3.0581511328681144E-2</v>
      </c>
      <c r="AA33" s="261">
        <f t="shared" si="32"/>
        <v>4.0422431136112547E-2</v>
      </c>
      <c r="AC33" s="266">
        <f>HLOOKUP(CONCATENATE("value",$AD$1),B:N, $AE33, 0)</f>
        <v>171186370.84960938</v>
      </c>
      <c r="AE33" s="279">
        <v>33</v>
      </c>
    </row>
    <row r="34" spans="1:31" ht="13.5" thickTop="1" x14ac:dyDescent="0.2"/>
    <row r="35" spans="1:31" x14ac:dyDescent="0.2">
      <c r="H35" s="267"/>
    </row>
    <row r="36" spans="1:31" x14ac:dyDescent="0.2">
      <c r="H36" s="267"/>
    </row>
    <row r="37" spans="1:31" x14ac:dyDescent="0.2">
      <c r="H37" s="267"/>
    </row>
    <row r="38" spans="1:31" x14ac:dyDescent="0.2">
      <c r="H38" s="267"/>
    </row>
    <row r="41" spans="1:31" x14ac:dyDescent="0.2">
      <c r="A41" s="268"/>
      <c r="B41" s="268"/>
      <c r="C41" s="225"/>
    </row>
    <row r="42" spans="1:31" x14ac:dyDescent="0.2">
      <c r="A42" s="268"/>
      <c r="B42" s="268"/>
      <c r="C42" s="225"/>
    </row>
    <row r="43" spans="1:31" x14ac:dyDescent="0.2">
      <c r="A43" s="268"/>
      <c r="B43" s="268"/>
      <c r="C43" s="225"/>
    </row>
    <row r="44" spans="1:31" x14ac:dyDescent="0.2">
      <c r="A44" s="269"/>
      <c r="B44"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workbookViewId="0">
      <selection activeCell="G39" sqref="G39"/>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345</v>
      </c>
      <c r="E1" s="2"/>
      <c r="F1" s="2"/>
      <c r="G1" s="2"/>
      <c r="H1" s="2"/>
      <c r="I1" s="2"/>
      <c r="J1" s="2"/>
      <c r="K1" s="3"/>
      <c r="L1" s="3"/>
    </row>
    <row r="3" spans="1:26" x14ac:dyDescent="0.25">
      <c r="D3" s="25" t="s">
        <v>346</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455</v>
      </c>
      <c r="D6" s="57" t="s">
        <v>347</v>
      </c>
      <c r="E6" s="7" t="e" cm="1">
        <f t="array" ref="E6">_xlfn.XLOOKUP(1, ('0. GUIDELINES'!$E$3='[1]input-mpo'!$A:$A) * (E$5='[1]input-mpo'!$B:$B) * ($C6='[1]input-mpo'!$C:$C), '[1]input-mpo'!$D:$D)</f>
        <v>#N/A</v>
      </c>
      <c r="F6" s="7" t="e" cm="1">
        <f t="array" ref="F6">_xlfn.XLOOKUP(1, ('0. GUIDELINES'!$E$3='[1]input-mpo'!$A:$A) * (F$5='[1]input-mpo'!$B:$B) * ($C6='[1]input-mpo'!$C:$C), '[1]input-mpo'!$D:$D)</f>
        <v>#N/A</v>
      </c>
      <c r="G6" s="7" cm="1">
        <f t="array" ref="G6">_xlfn.XLOOKUP(1, ('0. GUIDELINES'!$E$3='[1]input-mpo'!$A:$A) * (G$5='[1]input-mpo'!$B:$B) * ($C6='[1]input-mpo'!$C:$C), '[1]input-mpo'!$D:$D)</f>
        <v>144135940.55175781</v>
      </c>
      <c r="H6" s="7" cm="1">
        <f t="array" ref="H6">_xlfn.XLOOKUP(1, ('0. GUIDELINES'!$E$3='[1]input-mpo'!$A:$A) * (H$5='[1]input-mpo'!$B:$B) * ($C6='[1]input-mpo'!$C:$C), '[1]input-mpo'!$D:$D)</f>
        <v>145421310.42480469</v>
      </c>
      <c r="I6" s="7" cm="1">
        <f t="array" ref="I6">_xlfn.XLOOKUP(1, ('0. GUIDELINES'!$E$3='[1]input-mpo'!$A:$A) * (I$5='[1]input-mpo'!$B:$B) * ($C6='[1]input-mpo'!$C:$C), '[1]input-mpo'!$D:$D)</f>
        <v>146706817.62695313</v>
      </c>
      <c r="J6" s="7" cm="1">
        <f t="array" ref="J6">_xlfn.XLOOKUP(1, ('0. GUIDELINES'!$E$3='[1]input-mpo'!$A:$A) * (J$5='[1]input-mpo'!$B:$B) * ($C6='[1]input-mpo'!$C:$C), '[1]input-mpo'!$D:$D)</f>
        <v>148391143.79882813</v>
      </c>
      <c r="K6" s="7" cm="1">
        <f t="array" ref="K6">_xlfn.XLOOKUP(1, ('0. GUIDELINES'!$E$3='[1]input-mpo'!$A:$A) * (K$5='[1]input-mpo'!$B:$B) * ($C6='[1]input-mpo'!$C:$C), '[1]input-mpo'!$D:$D)</f>
        <v>150210998.53515625</v>
      </c>
      <c r="L6" s="7" cm="1">
        <f t="array" ref="L6">_xlfn.XLOOKUP(1, ('0. GUIDELINES'!$E$3='[1]input-mpo'!$A:$A) * (L$5='[1]input-mpo'!$B:$B) * ($C6='[1]input-mpo'!$C:$C), '[1]input-mpo'!$D:$D)</f>
        <v>152090652.46582031</v>
      </c>
      <c r="M6" s="7" cm="1">
        <f t="array" ref="M6">_xlfn.XLOOKUP(1, ('0. GUIDELINES'!$E$3='[1]input-mpo'!$A:$A) * (M$5='[1]input-mpo'!$B:$B) * ($C6='[1]input-mpo'!$C:$C), '[1]input-mpo'!$D:$D)</f>
        <v>154030136.10839844</v>
      </c>
      <c r="N6" s="7" cm="1">
        <f t="array" ref="N6">_xlfn.XLOOKUP(1, ('0. GUIDELINES'!$E$3='[1]input-mpo'!$A:$A) * (N$5='[1]input-mpo'!$B:$B) * ($C6='[1]input-mpo'!$C:$C), '[1]input-mpo'!$D:$D)</f>
        <v>155961303.7109375</v>
      </c>
      <c r="O6" s="7" cm="1">
        <f t="array" ref="O6">_xlfn.XLOOKUP(1, ('0. GUIDELINES'!$E$3='[1]input-mpo'!$A:$A) * (O$5='[1]input-mpo'!$B:$B) * ($C6='[1]input-mpo'!$C:$C), '[1]input-mpo'!$D:$D)</f>
        <v>157830001.83105469</v>
      </c>
      <c r="P6" s="7" cm="1">
        <f t="array" ref="P6">_xlfn.XLOOKUP(1, ('0. GUIDELINES'!$E$3='[1]input-mpo'!$A:$A) * (P$5='[1]input-mpo'!$B:$B) * ($C6='[1]input-mpo'!$C:$C), '[1]input-mpo'!$D:$D)</f>
        <v>159784561.15722656</v>
      </c>
      <c r="Q6" s="7" cm="1">
        <f t="array" ref="Q6">_xlfn.XLOOKUP(1, ('0. GUIDELINES'!$E$3='[1]input-mpo'!$A:$A) * (Q$5='[1]input-mpo'!$B:$B) * ($C6='[1]input-mpo'!$C:$C), '[1]input-mpo'!$D:$D)</f>
        <v>161793960.57128906</v>
      </c>
      <c r="R6" s="7" cm="1">
        <f t="array" ref="R6">_xlfn.XLOOKUP(1, ('0. GUIDELINES'!$E$3='[1]input-mpo'!$A:$A) * (R$5='[1]input-mpo'!$B:$B) * ($C6='[1]input-mpo'!$C:$C), '[1]input-mpo'!$D:$D)</f>
        <v>163683959.9609375</v>
      </c>
      <c r="S6" s="7" cm="1">
        <f t="array" ref="S6">_xlfn.XLOOKUP(1, ('0. GUIDELINES'!$E$3='[1]input-mpo'!$A:$A) * (S$5='[1]input-mpo'!$B:$B) * ($C6='[1]input-mpo'!$C:$C), '[1]input-mpo'!$D:$D)</f>
        <v>165516220.09277344</v>
      </c>
      <c r="T6" s="7" cm="1">
        <f t="array" ref="T6">_xlfn.XLOOKUP(1, ('0. GUIDELINES'!$E$3='[1]input-mpo'!$A:$A) * (T$5='[1]input-mpo'!$B:$B) * ($C6='[1]input-mpo'!$C:$C), '[1]input-mpo'!$D:$D)</f>
        <v>167420944.21386719</v>
      </c>
      <c r="U6" s="7" cm="1">
        <f t="array" ref="U6">_xlfn.XLOOKUP(1, ('0. GUIDELINES'!$E$3='[1]input-mpo'!$A:$A) * (U$5='[1]input-mpo'!$B:$B) * ($C6='[1]input-mpo'!$C:$C), '[1]input-mpo'!$D:$D)</f>
        <v>169356246.94824219</v>
      </c>
      <c r="V6" s="7" cm="1">
        <f t="array" ref="V6">_xlfn.XLOOKUP(1, ('0. GUIDELINES'!$E$3='[1]input-mpo'!$A:$A) * (V$5='[1]input-mpo'!$B:$B) * ($C6='[1]input-mpo'!$C:$C), '[1]input-mpo'!$D:$D)</f>
        <v>171186370.84960938</v>
      </c>
      <c r="W6" s="7" cm="1">
        <f t="array" ref="W6">_xlfn.XLOOKUP(1, ('0. GUIDELINES'!$E$3='[1]input-mpo'!$A:$A) * (W$5='[1]input-mpo'!$B:$B) * ($C6='[1]input-mpo'!$C:$C), '[1]input-mpo'!$D:$D)</f>
        <v>172954315.18554688</v>
      </c>
      <c r="X6" s="7" cm="1">
        <f t="array" ref="X6">_xlfn.XLOOKUP(1, ('0. GUIDELINES'!$E$3='[1]input-mpo'!$A:$A) * (X$5='[1]input-mpo'!$B:$B) * ($C6='[1]input-mpo'!$C:$C), '[1]input-mpo'!$D:$D)</f>
        <v>174701217.65136719</v>
      </c>
      <c r="Y6" s="7" cm="1">
        <f t="array" ref="Y6">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348</v>
      </c>
      <c r="E7" s="59"/>
      <c r="F7" s="59" t="e">
        <f t="shared" ref="F7:Z7" si="0">+(F6/E6-1)*100</f>
        <v>#N/A</v>
      </c>
      <c r="G7" s="59" t="e">
        <f t="shared" si="0"/>
        <v>#N/A</v>
      </c>
      <c r="H7" s="59">
        <f t="shared" si="0"/>
        <v>0.89177610256430118</v>
      </c>
      <c r="I7" s="59">
        <f t="shared" si="0"/>
        <v>0.88398818467061435</v>
      </c>
      <c r="J7" s="59">
        <f t="shared" si="0"/>
        <v>1.1480899109664433</v>
      </c>
      <c r="K7" s="59">
        <f t="shared" si="0"/>
        <v>1.2263903961784228</v>
      </c>
      <c r="L7" s="59">
        <f t="shared" si="0"/>
        <v>1.2513424110047078</v>
      </c>
      <c r="M7" s="59">
        <f t="shared" si="0"/>
        <v>1.2752155448961577</v>
      </c>
      <c r="N7" s="59">
        <f t="shared" si="0"/>
        <v>1.2537595897337939</v>
      </c>
      <c r="O7" s="59">
        <f t="shared" si="0"/>
        <v>1.1981806227913339</v>
      </c>
      <c r="P7" s="59">
        <f t="shared" si="0"/>
        <v>1.2383953009543092</v>
      </c>
      <c r="Q7" s="59">
        <f t="shared" si="0"/>
        <v>1.2575679399245976</v>
      </c>
      <c r="R7" s="59">
        <f t="shared" si="0"/>
        <v>1.1681520020740743</v>
      </c>
      <c r="S7" s="59">
        <f t="shared" si="0"/>
        <v>1.1193889323506179</v>
      </c>
      <c r="T7" s="59">
        <f t="shared" si="0"/>
        <v>1.1507779237745597</v>
      </c>
      <c r="U7" s="59">
        <f t="shared" si="0"/>
        <v>1.1559501969495622</v>
      </c>
      <c r="V7" s="59">
        <f t="shared" si="0"/>
        <v>1.0806356035549802</v>
      </c>
      <c r="W7" s="59">
        <f t="shared" si="0"/>
        <v>1.0327599838486412</v>
      </c>
      <c r="X7" s="59">
        <f t="shared" si="0"/>
        <v>1.010036936023373</v>
      </c>
      <c r="Y7" s="59">
        <f t="shared" si="0"/>
        <v>0.98470472090717021</v>
      </c>
      <c r="Z7" s="59">
        <f t="shared" si="0"/>
        <v>0.95489000134925117</v>
      </c>
    </row>
    <row r="8" spans="1:26" ht="15.75" thickTop="1" x14ac:dyDescent="0.25">
      <c r="A8" s="79" t="str">
        <f>"pop_1564"&amp;"_"&amp;'0. GUIDELINES'!E3</f>
        <v>pop_1564_BGD</v>
      </c>
      <c r="C8" s="87" t="s">
        <v>493</v>
      </c>
      <c r="D8" s="26" t="s">
        <v>349</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58" customFormat="1" ht="15" customHeight="1" thickBot="1" x14ac:dyDescent="0.3">
      <c r="A9" s="80"/>
      <c r="D9" s="60" t="s">
        <v>350</v>
      </c>
      <c r="E9" s="59"/>
      <c r="F9" s="59" t="e">
        <f t="shared" ref="F9:K9" si="1">+(F8/E8-1)*100</f>
        <v>#N/A</v>
      </c>
      <c r="G9" s="59" t="e">
        <f t="shared" si="1"/>
        <v>#N/A</v>
      </c>
      <c r="H9" s="59" t="e">
        <f t="shared" si="1"/>
        <v>#N/A</v>
      </c>
      <c r="I9" s="59" t="e">
        <f t="shared" si="1"/>
        <v>#N/A</v>
      </c>
      <c r="J9" s="59" t="e">
        <f t="shared" si="1"/>
        <v>#N/A</v>
      </c>
      <c r="K9" s="59" t="e">
        <f t="shared" si="1"/>
        <v>#N/A</v>
      </c>
      <c r="L9" s="59" t="e">
        <f t="shared" ref="L9:Y9" si="2">+(L8/K8-1)*100</f>
        <v>#N/A</v>
      </c>
      <c r="M9" s="59" t="e">
        <f t="shared" si="2"/>
        <v>#N/A</v>
      </c>
      <c r="N9" s="59" t="e">
        <f t="shared" si="2"/>
        <v>#N/A</v>
      </c>
      <c r="O9" s="59" t="e">
        <f t="shared" si="2"/>
        <v>#N/A</v>
      </c>
      <c r="P9" s="59" t="e">
        <f t="shared" si="2"/>
        <v>#N/A</v>
      </c>
      <c r="Q9" s="59" t="e">
        <f>+(Q8/P8-1)*100</f>
        <v>#N/A</v>
      </c>
      <c r="R9" s="59" t="e">
        <f t="shared" si="2"/>
        <v>#N/A</v>
      </c>
      <c r="S9" s="59" t="e">
        <f t="shared" si="2"/>
        <v>#N/A</v>
      </c>
      <c r="T9" s="59" t="e">
        <f t="shared" si="2"/>
        <v>#N/A</v>
      </c>
      <c r="U9" s="59" t="e">
        <f t="shared" si="2"/>
        <v>#N/A</v>
      </c>
      <c r="V9" s="59" t="e">
        <f t="shared" si="2"/>
        <v>#N/A</v>
      </c>
      <c r="W9" s="59" t="e">
        <f t="shared" si="2"/>
        <v>#N/A</v>
      </c>
      <c r="X9" s="59" t="e">
        <f t="shared" si="2"/>
        <v>#N/A</v>
      </c>
      <c r="Y9" s="59" t="e">
        <f t="shared" si="2"/>
        <v>#N/A</v>
      </c>
      <c r="Z9" s="59">
        <f>+Z7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556</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460</v>
      </c>
      <c r="D15" s="57" t="s">
        <v>347</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348</v>
      </c>
      <c r="E16" s="59"/>
      <c r="F16" s="59">
        <f t="shared" ref="F16" si="3">+(F15/E15-1)*100</f>
        <v>1.1679358186949873</v>
      </c>
      <c r="G16" s="59">
        <f>+(G15/F15-1)*100</f>
        <v>1.0814480189225373</v>
      </c>
      <c r="H16" s="59">
        <f t="shared" ref="H16" si="4">+(H15/G15-1)*100</f>
        <v>1.0034412763335387</v>
      </c>
      <c r="I16" s="59">
        <f t="shared" ref="I16" si="5">+(I15/H15-1)*100</f>
        <v>0.9362484666131099</v>
      </c>
      <c r="J16" s="59">
        <f t="shared" ref="J16" si="6">+(J15/I15-1)*100</f>
        <v>0.88038364323688167</v>
      </c>
      <c r="K16" s="59">
        <f t="shared" ref="K16" si="7">+(K15/J15-1)*100</f>
        <v>0.91266485909711204</v>
      </c>
      <c r="L16" s="59">
        <f t="shared" ref="L16" si="8">+(L15/K15-1)*100</f>
        <v>0.96296350239437611</v>
      </c>
      <c r="M16" s="59">
        <f t="shared" ref="M16" si="9">+(M15/L15-1)*100</f>
        <v>0.94282455860776881</v>
      </c>
      <c r="N16" s="59">
        <f t="shared" ref="N16" si="10">+(N15/M15-1)*100</f>
        <v>0.91533150663074547</v>
      </c>
      <c r="O16" s="59">
        <f t="shared" ref="O16" si="11">+(O15/N15-1)*100</f>
        <v>0.89782619057747759</v>
      </c>
      <c r="P16" s="59">
        <f t="shared" ref="P16" si="12">+(P15/O15-1)*100</f>
        <v>0.89642678039443258</v>
      </c>
      <c r="Q16" s="59">
        <f t="shared" ref="Q16" si="13">+(Q15/P15-1)*100</f>
        <v>0.85454728305065508</v>
      </c>
      <c r="R16" s="59">
        <f t="shared" ref="R16" si="14">+(R15/Q15-1)*100</f>
        <v>0.82433489471926968</v>
      </c>
      <c r="S16" s="59">
        <f t="shared" ref="S16" si="15">+(S15/R15-1)*100</f>
        <v>0.85000313120890958</v>
      </c>
      <c r="T16" s="59">
        <f t="shared" ref="T16" si="16">+(T15/S15-1)*100</f>
        <v>0.83981768453686989</v>
      </c>
      <c r="U16" s="59">
        <f t="shared" ref="U16" si="17">+(U15/T15-1)*100</f>
        <v>0.81830828007913858</v>
      </c>
      <c r="V16" s="59">
        <f t="shared" ref="V16" si="18">+(V15/U15-1)*100</f>
        <v>1.0294970731772546</v>
      </c>
      <c r="W16" s="59">
        <f t="shared" ref="W16" si="19">+(W15/V15-1)*100</f>
        <v>1.2292078755132163</v>
      </c>
      <c r="X16" s="59">
        <f t="shared" ref="X16" si="20">+(X15/W15-1)*100</f>
        <v>1.2220276334237834</v>
      </c>
      <c r="Y16" s="59">
        <f t="shared" ref="Y16" si="21">+(Y15/X15-1)*100</f>
        <v>1.2240761482137819</v>
      </c>
      <c r="Z16" s="59">
        <f t="shared" ref="Z16" si="22">+(Z15/Y15-1)*100</f>
        <v>1.2130358074877501</v>
      </c>
    </row>
    <row r="17" spans="3:26" ht="15.75" thickTop="1" x14ac:dyDescent="0.25">
      <c r="C17" s="89" t="s">
        <v>494</v>
      </c>
      <c r="D17" s="26" t="s">
        <v>349</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350</v>
      </c>
      <c r="E18" s="59"/>
      <c r="F18" s="59">
        <f t="shared" ref="F18" si="23">+(F17/E17-1)*100</f>
        <v>1.578097168516801</v>
      </c>
      <c r="G18" s="59">
        <f t="shared" ref="G18" si="24">+(G17/F17-1)*100</f>
        <v>1.4587062575367904</v>
      </c>
      <c r="H18" s="59">
        <f t="shared" ref="H18" si="25">+(H17/G17-1)*100</f>
        <v>1.3599962328456172</v>
      </c>
      <c r="I18" s="59">
        <f t="shared" ref="I18" si="26">+(I17/H17-1)*100</f>
        <v>1.3286296794388974</v>
      </c>
      <c r="J18" s="59">
        <f t="shared" ref="J18" si="27">+(J17/I17-1)*100</f>
        <v>1.337865164075458</v>
      </c>
      <c r="K18" s="59">
        <f t="shared" ref="K18" si="28">+(K17/J17-1)*100</f>
        <v>1.4580939717185215</v>
      </c>
      <c r="L18" s="59">
        <f t="shared" ref="L18" si="29">+(L17/K17-1)*100</f>
        <v>1.630488888066095</v>
      </c>
      <c r="M18" s="59">
        <f t="shared" ref="M18" si="30">+(M17/L17-1)*100</f>
        <v>1.6940495143859202</v>
      </c>
      <c r="N18" s="59">
        <f t="shared" ref="N18" si="31">+(N17/M17-1)*100</f>
        <v>1.6971205968531411</v>
      </c>
      <c r="O18" s="59">
        <f t="shared" ref="O18" si="32">+(O17/N17-1)*100</f>
        <v>1.6579860994600404</v>
      </c>
      <c r="P18" s="59">
        <f t="shared" ref="P18" si="33">+(P17/O17-1)*100</f>
        <v>1.6015155455562535</v>
      </c>
      <c r="Q18" s="59">
        <f>+(Q17/P17-1)*100</f>
        <v>1.3294855560406438</v>
      </c>
      <c r="R18" s="59">
        <f t="shared" ref="R18" si="34">+(R17/Q17-1)*100</f>
        <v>1.0309542773285774</v>
      </c>
      <c r="S18" s="59">
        <f t="shared" ref="S18" si="35">+(S17/R17-1)*100</f>
        <v>0.94955307302375669</v>
      </c>
      <c r="T18" s="59">
        <f t="shared" ref="T18" si="36">+(T17/S17-1)*100</f>
        <v>0.90998089669156457</v>
      </c>
      <c r="U18" s="59">
        <f t="shared" ref="U18" si="37">+(U17/T17-1)*100</f>
        <v>0.88863543904267317</v>
      </c>
      <c r="V18" s="59">
        <f t="shared" ref="V18" si="38">+(V17/U17-1)*100</f>
        <v>1.2520306699197903</v>
      </c>
      <c r="W18" s="59">
        <f t="shared" ref="W18" si="39">+(W17/V17-1)*100</f>
        <v>1.5772676242213901</v>
      </c>
      <c r="X18" s="59">
        <f t="shared" ref="X18" si="40">+(X17/W17-1)*100</f>
        <v>1.5227198805662034</v>
      </c>
      <c r="Y18" s="59">
        <f t="shared" ref="Y18" si="41">+(Y17/X17-1)*100</f>
        <v>1.4917304352455529</v>
      </c>
      <c r="Z18" s="59">
        <f>+Z16</f>
        <v>1.2130358074877501</v>
      </c>
    </row>
    <row r="19" spans="3:26" ht="15.75" thickTop="1" x14ac:dyDescent="0.25"/>
    <row r="21" spans="3:26" x14ac:dyDescent="0.25">
      <c r="S21" s="89" t="s">
        <v>557</v>
      </c>
      <c r="V21">
        <f>+V15/V6</f>
        <v>0.98947653752650666</v>
      </c>
      <c r="W21">
        <f>+W15/W6</f>
        <v>0.99140047368028217</v>
      </c>
    </row>
    <row r="22" spans="3:26" x14ac:dyDescent="0.25">
      <c r="S22" s="89" t="s">
        <v>558</v>
      </c>
      <c r="V22" t="e">
        <f>+V17/V8</f>
        <v>#N/A</v>
      </c>
      <c r="W22" t="e">
        <f>+W17/W8</f>
        <v>#N/A</v>
      </c>
    </row>
    <row r="23" spans="3:26" x14ac:dyDescent="0.25">
      <c r="S23" s="252" t="s">
        <v>379</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tabSelected="1" workbookViewId="0">
      <selection activeCell="D3" sqref="D3"/>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354</v>
      </c>
      <c r="B1" s="14" t="s">
        <v>355</v>
      </c>
      <c r="C1" s="14" t="s">
        <v>356</v>
      </c>
      <c r="D1" s="14" t="s">
        <v>357</v>
      </c>
      <c r="E1" s="14" t="s">
        <v>358</v>
      </c>
      <c r="F1" s="14" t="s">
        <v>359</v>
      </c>
    </row>
    <row r="2" spans="1:6" x14ac:dyDescent="0.25">
      <c r="A2" s="14">
        <f>IF(parameters!D4="national",1,0)</f>
        <v>0</v>
      </c>
      <c r="B2" s="14">
        <f>+parameters!D6</f>
        <v>2023</v>
      </c>
      <c r="C2" s="14">
        <f>parameters!I6</f>
        <v>0</v>
      </c>
      <c r="D2" s="14">
        <v>2</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360</v>
      </c>
      <c r="B1" s="16" t="s">
        <v>361</v>
      </c>
    </row>
    <row r="2" spans="1:2" x14ac:dyDescent="0.25">
      <c r="A2" s="225" t="s">
        <v>29</v>
      </c>
      <c r="B2" s="17">
        <f>parameters!D13</f>
        <v>-2.811961645726857E-2</v>
      </c>
    </row>
    <row r="3" spans="1:2" x14ac:dyDescent="0.25">
      <c r="A3" s="225" t="s">
        <v>385</v>
      </c>
      <c r="B3" s="17">
        <f>parameters!D14</f>
        <v>-2.8119616457268459E-2</v>
      </c>
    </row>
    <row r="4" spans="1:2" x14ac:dyDescent="0.25">
      <c r="A4" s="225" t="s">
        <v>402</v>
      </c>
      <c r="B4" s="17">
        <f>parameters!D15</f>
        <v>-8.1903878876898872E-4</v>
      </c>
    </row>
    <row r="5" spans="1:2" x14ac:dyDescent="0.25">
      <c r="A5" s="225" t="s">
        <v>386</v>
      </c>
      <c r="B5" s="17">
        <f>parameters!D16</f>
        <v>2.4936634431494964E-2</v>
      </c>
    </row>
    <row r="6" spans="1:2" x14ac:dyDescent="0.25">
      <c r="A6" s="225" t="s">
        <v>387</v>
      </c>
      <c r="B6" s="17">
        <f>parameters!D17</f>
        <v>2.1801324463161187E-2</v>
      </c>
    </row>
    <row r="7" spans="1:2" x14ac:dyDescent="0.25">
      <c r="A7" s="225" t="s">
        <v>388</v>
      </c>
      <c r="B7" s="17">
        <f>parameters!D18</f>
        <v>8.5645417414106362E-3</v>
      </c>
    </row>
    <row r="8" spans="1:2" x14ac:dyDescent="0.25">
      <c r="A8" s="225" t="s">
        <v>213</v>
      </c>
      <c r="B8" s="17">
        <f>parameters!D19</f>
        <v>0</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360</v>
      </c>
      <c r="B1" s="16" t="s">
        <v>361</v>
      </c>
    </row>
    <row r="2" spans="1:2" x14ac:dyDescent="0.25">
      <c r="A2" s="221" t="s">
        <v>390</v>
      </c>
      <c r="B2">
        <f>parameters!I9</f>
        <v>-7.1426290382861746E-2</v>
      </c>
    </row>
    <row r="3" spans="1:2" x14ac:dyDescent="0.25">
      <c r="A3" s="221" t="s">
        <v>389</v>
      </c>
      <c r="B3">
        <f>parameters!I10</f>
        <v>1.8159226368524184E-2</v>
      </c>
    </row>
    <row r="4" spans="1:2" x14ac:dyDescent="0.25">
      <c r="A4" s="221" t="s">
        <v>391</v>
      </c>
      <c r="B4">
        <f>parameters!I11</f>
        <v>-4.6192151642489132E-2</v>
      </c>
    </row>
    <row r="5" spans="1:2" x14ac:dyDescent="0.25">
      <c r="A5" s="221" t="s">
        <v>392</v>
      </c>
      <c r="B5">
        <f>parameters!I12</f>
        <v>-4.9745394076526894E-3</v>
      </c>
    </row>
    <row r="6" spans="1:2" x14ac:dyDescent="0.25">
      <c r="A6" s="221" t="s">
        <v>403</v>
      </c>
      <c r="B6">
        <f>parameters!I13</f>
        <v>-7.4904072755167528E-3</v>
      </c>
    </row>
    <row r="7" spans="1:2" x14ac:dyDescent="0.25">
      <c r="A7" s="221" t="s">
        <v>393</v>
      </c>
      <c r="B7">
        <f>parameters!I14</f>
        <v>-1.7023652898902064E-3</v>
      </c>
    </row>
    <row r="8" spans="1:2" x14ac:dyDescent="0.25">
      <c r="A8" s="221" t="s">
        <v>395</v>
      </c>
      <c r="B8">
        <f>parameters!I15</f>
        <v>-4.0161824223762244E-3</v>
      </c>
    </row>
    <row r="9" spans="1:2" x14ac:dyDescent="0.25">
      <c r="A9" s="221" t="s">
        <v>396</v>
      </c>
      <c r="B9">
        <f>parameters!I16</f>
        <v>3.3714392206769972E-2</v>
      </c>
    </row>
    <row r="10" spans="1:2" x14ac:dyDescent="0.25">
      <c r="A10" s="221" t="s">
        <v>397</v>
      </c>
      <c r="B10">
        <f>parameters!I17</f>
        <v>8.367331362803121E-2</v>
      </c>
    </row>
    <row r="11" spans="1:2" x14ac:dyDescent="0.25">
      <c r="A11" s="221" t="s">
        <v>398</v>
      </c>
      <c r="B11">
        <f>parameters!I18</f>
        <v>5.3712425094595506E-2</v>
      </c>
    </row>
    <row r="12" spans="1:2" x14ac:dyDescent="0.25">
      <c r="A12" s="221" t="s">
        <v>399</v>
      </c>
      <c r="B12">
        <f>parameters!I19</f>
        <v>5.775115855083901E-2</v>
      </c>
    </row>
    <row r="13" spans="1:2" x14ac:dyDescent="0.25">
      <c r="A13" s="221" t="s">
        <v>400</v>
      </c>
      <c r="B13">
        <f>parameters!I20</f>
        <v>-1.7783120699564448E-2</v>
      </c>
    </row>
    <row r="14" spans="1:2" x14ac:dyDescent="0.25">
      <c r="A14" s="221" t="s">
        <v>334</v>
      </c>
      <c r="B14">
        <f>parameters!I21</f>
        <v>-0.11077536753801531</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365</v>
      </c>
      <c r="B1" s="16" t="s">
        <v>361</v>
      </c>
    </row>
    <row r="2" spans="1:2" x14ac:dyDescent="0.25">
      <c r="A2" s="14" t="s">
        <v>366</v>
      </c>
      <c r="B2">
        <f>parameters!D9</f>
        <v>-9.5649127935406586E-3</v>
      </c>
    </row>
    <row r="3" spans="1:2" x14ac:dyDescent="0.25">
      <c r="A3" s="14" t="s">
        <v>367</v>
      </c>
      <c r="B3">
        <f>parameters!D10</f>
        <v>5.655531628506294E-3</v>
      </c>
    </row>
    <row r="4" spans="1:2" x14ac:dyDescent="0.25">
      <c r="A4" s="221" t="s">
        <v>390</v>
      </c>
      <c r="B4" s="18">
        <f>parameters!D22</f>
        <v>2.7532275120198957E-2</v>
      </c>
    </row>
    <row r="5" spans="1:2" x14ac:dyDescent="0.25">
      <c r="A5" s="221" t="s">
        <v>389</v>
      </c>
      <c r="B5" s="18">
        <f>parameters!D23</f>
        <v>5.7751090753483725E-2</v>
      </c>
    </row>
    <row r="6" spans="1:2" x14ac:dyDescent="0.25">
      <c r="A6" s="221" t="s">
        <v>391</v>
      </c>
      <c r="B6" s="18" t="e">
        <f>parameters!D24</f>
        <v>#REF!</v>
      </c>
    </row>
    <row r="7" spans="1:2" x14ac:dyDescent="0.25">
      <c r="A7" s="221" t="s">
        <v>392</v>
      </c>
      <c r="B7" s="18" t="e">
        <f>parameters!D25</f>
        <v>#REF!</v>
      </c>
    </row>
    <row r="8" spans="1:2" x14ac:dyDescent="0.25">
      <c r="A8" s="221" t="s">
        <v>403</v>
      </c>
      <c r="B8" s="18" t="e">
        <f>parameters!D26</f>
        <v>#REF!</v>
      </c>
    </row>
    <row r="9" spans="1:2" x14ac:dyDescent="0.25">
      <c r="A9" s="221" t="s">
        <v>393</v>
      </c>
      <c r="B9" s="18" t="e">
        <f>parameters!D27</f>
        <v>#REF!</v>
      </c>
    </row>
    <row r="10" spans="1:2" x14ac:dyDescent="0.25">
      <c r="A10" s="221" t="s">
        <v>395</v>
      </c>
      <c r="B10" s="18" t="e">
        <f>parameters!D28</f>
        <v>#REF!</v>
      </c>
    </row>
    <row r="11" spans="1:2" x14ac:dyDescent="0.25">
      <c r="A11" s="221" t="s">
        <v>396</v>
      </c>
      <c r="B11" s="18" t="e">
        <f>parameters!D29</f>
        <v>#REF!</v>
      </c>
    </row>
    <row r="12" spans="1:2" x14ac:dyDescent="0.25">
      <c r="A12" s="221" t="s">
        <v>397</v>
      </c>
      <c r="B12" s="18" t="e">
        <f>parameters!D30</f>
        <v>#REF!</v>
      </c>
    </row>
    <row r="13" spans="1:2" x14ac:dyDescent="0.25">
      <c r="A13" s="221" t="s">
        <v>398</v>
      </c>
      <c r="B13" s="18" t="e">
        <f>parameters!D31</f>
        <v>#REF!</v>
      </c>
    </row>
    <row r="14" spans="1:2" x14ac:dyDescent="0.25">
      <c r="A14" s="221" t="s">
        <v>399</v>
      </c>
      <c r="B14" s="18" t="e">
        <f>parameters!D32</f>
        <v>#REF!</v>
      </c>
    </row>
    <row r="15" spans="1:2" x14ac:dyDescent="0.25">
      <c r="A15" s="221" t="s">
        <v>400</v>
      </c>
      <c r="B15" s="18" t="e">
        <f>parameters!D33</f>
        <v>#REF!</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365</v>
      </c>
      <c r="B1" s="16" t="s">
        <v>361</v>
      </c>
    </row>
    <row r="2" spans="1:2" x14ac:dyDescent="0.25">
      <c r="A2" s="14" t="s">
        <v>262</v>
      </c>
      <c r="B2" s="18" t="e">
        <f>parameters!I24</f>
        <v>#REF!</v>
      </c>
    </row>
    <row r="3" spans="1:2" x14ac:dyDescent="0.25">
      <c r="A3" s="14" t="s">
        <v>337</v>
      </c>
      <c r="B3" s="18" t="e">
        <f>parameters!I25</f>
        <v>#REF!</v>
      </c>
    </row>
    <row r="4" spans="1:2" x14ac:dyDescent="0.25">
      <c r="A4" s="14" t="s">
        <v>338</v>
      </c>
      <c r="B4" s="18" t="e">
        <f>parameters!I26</f>
        <v>#REF!</v>
      </c>
    </row>
    <row r="5" spans="1:2" x14ac:dyDescent="0.25">
      <c r="A5" s="14" t="s">
        <v>368</v>
      </c>
      <c r="B5" s="18">
        <v>0</v>
      </c>
    </row>
    <row r="6" spans="1:2" x14ac:dyDescent="0.25">
      <c r="A6" s="14" t="s">
        <v>369</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351</v>
      </c>
      <c r="B1" s="16" t="s">
        <v>352</v>
      </c>
    </row>
    <row r="2" spans="1:2" x14ac:dyDescent="0.25">
      <c r="A2" s="14" t="s">
        <v>353</v>
      </c>
      <c r="B2" s="47" t="e">
        <f>+parameters!I37</f>
        <v>#REF!</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365</v>
      </c>
      <c r="B1" s="16" t="s">
        <v>361</v>
      </c>
    </row>
    <row r="2" spans="1:2" x14ac:dyDescent="0.25">
      <c r="A2" s="14" t="s">
        <v>362</v>
      </c>
      <c r="B2" s="18" t="e">
        <f>parameters!D37</f>
        <v>#REF!</v>
      </c>
    </row>
    <row r="3" spans="1:2" x14ac:dyDescent="0.25">
      <c r="A3" s="14" t="s">
        <v>363</v>
      </c>
      <c r="B3" s="18" t="e">
        <f>parameters!D39</f>
        <v>#REF!</v>
      </c>
    </row>
    <row r="4" spans="1:2" x14ac:dyDescent="0.25">
      <c r="A4" s="14" t="s">
        <v>364</v>
      </c>
      <c r="B4" s="18" t="e">
        <f>parameters!D42</f>
        <v>#REF!</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365</v>
      </c>
      <c r="B1" s="16" t="s">
        <v>352</v>
      </c>
    </row>
    <row r="2" spans="1:2" x14ac:dyDescent="0.25">
      <c r="A2" s="14" t="s">
        <v>370</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371</v>
      </c>
      <c r="B1" s="16" t="s">
        <v>372</v>
      </c>
      <c r="C1" s="16" t="s">
        <v>373</v>
      </c>
    </row>
    <row r="2" spans="1:3" x14ac:dyDescent="0.25">
      <c r="A2" s="14" t="s">
        <v>374</v>
      </c>
      <c r="B2" s="18">
        <f>parameters!I40</f>
        <v>0</v>
      </c>
      <c r="C2" s="18">
        <f>parameters!I50</f>
        <v>0</v>
      </c>
    </row>
    <row r="3" spans="1:3" x14ac:dyDescent="0.25">
      <c r="A3" s="14" t="s">
        <v>375</v>
      </c>
      <c r="B3" s="18">
        <f>parameters!I43</f>
        <v>0</v>
      </c>
      <c r="C3" s="18">
        <f>parameters!I51</f>
        <v>0</v>
      </c>
    </row>
    <row r="4" spans="1:3" x14ac:dyDescent="0.25">
      <c r="A4" s="14" t="s">
        <v>376</v>
      </c>
      <c r="B4" s="18">
        <f>parameters!I44</f>
        <v>0</v>
      </c>
      <c r="C4" s="18">
        <f>parameters!I52</f>
        <v>0</v>
      </c>
    </row>
    <row r="5" spans="1:3" x14ac:dyDescent="0.25">
      <c r="A5" s="14" t="s">
        <v>377</v>
      </c>
      <c r="B5" s="18">
        <f>parameters!I46</f>
        <v>0</v>
      </c>
      <c r="C5" s="18">
        <f>parameters!I53</f>
        <v>0</v>
      </c>
    </row>
    <row r="6" spans="1:3" x14ac:dyDescent="0.25">
      <c r="A6" s="14" t="s">
        <v>378</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C09283-99FE-4427-956A-BE4F4BF5E2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2024-09-17T22:14:22Z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